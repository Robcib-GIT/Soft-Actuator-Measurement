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rogDos\Repositorios\Robcib\Soft-Actuator-Measurement\Otros\Pruebas\Python\Finales\data\"/>
    </mc:Choice>
  </mc:AlternateContent>
  <xr:revisionPtr revIDLastSave="0" documentId="13_ncr:1_{EA4AFF4D-88DE-4B5F-AA78-AEA94B010EE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sultados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9" i="4" l="1"/>
  <c r="W9" i="4"/>
  <c r="V9" i="4"/>
  <c r="X9" i="4" s="1"/>
  <c r="T9" i="4"/>
  <c r="V8" i="4"/>
  <c r="V7" i="4"/>
  <c r="V6" i="4"/>
  <c r="V5" i="4"/>
  <c r="H26" i="4"/>
  <c r="I26" i="4"/>
  <c r="J26" i="4"/>
  <c r="H27" i="4"/>
  <c r="O37" i="4"/>
  <c r="Q37" i="4" s="1"/>
  <c r="O36" i="4"/>
  <c r="N36" i="4" s="1"/>
  <c r="O35" i="4"/>
  <c r="Q35" i="4" s="1"/>
  <c r="N35" i="4"/>
  <c r="O34" i="4"/>
  <c r="Q34" i="4" s="1"/>
  <c r="Q33" i="4"/>
  <c r="V28" i="4"/>
  <c r="S28" i="4"/>
  <c r="Q28" i="4"/>
  <c r="N28" i="4"/>
  <c r="U27" i="4"/>
  <c r="V27" i="4" s="1"/>
  <c r="P27" i="4"/>
  <c r="Q27" i="4" s="1"/>
  <c r="N27" i="4"/>
  <c r="F27" i="4"/>
  <c r="E27" i="4"/>
  <c r="U26" i="4"/>
  <c r="V26" i="4" s="1"/>
  <c r="S26" i="4"/>
  <c r="P26" i="4"/>
  <c r="F26" i="4"/>
  <c r="E26" i="4"/>
  <c r="U25" i="4"/>
  <c r="V25" i="4" s="1"/>
  <c r="P25" i="4"/>
  <c r="Q25" i="4" s="1"/>
  <c r="L25" i="4"/>
  <c r="U24" i="4"/>
  <c r="V24" i="4" s="1"/>
  <c r="P24" i="4"/>
  <c r="Q24" i="4" s="1"/>
  <c r="L24" i="4"/>
  <c r="O17" i="4"/>
  <c r="Q17" i="4" s="1"/>
  <c r="O16" i="4"/>
  <c r="Q16" i="4" s="1"/>
  <c r="O15" i="4"/>
  <c r="Q15" i="4" s="1"/>
  <c r="O14" i="4"/>
  <c r="Q14" i="4" s="1"/>
  <c r="Q13" i="4"/>
  <c r="O9" i="4"/>
  <c r="Q9" i="4" s="1"/>
  <c r="O8" i="4"/>
  <c r="Q8" i="4" s="1"/>
  <c r="O7" i="4"/>
  <c r="Q7" i="4" s="1"/>
  <c r="O6" i="4"/>
  <c r="Q6" i="4" s="1"/>
  <c r="Q5" i="4"/>
  <c r="X8" i="4" l="1"/>
  <c r="Y8" i="4"/>
  <c r="W8" i="4"/>
  <c r="T7" i="4"/>
  <c r="X7" i="4"/>
  <c r="Y7" i="4"/>
  <c r="W7" i="4"/>
  <c r="X6" i="4"/>
  <c r="Y6" i="4"/>
  <c r="W6" i="4"/>
  <c r="Y5" i="4"/>
  <c r="X5" i="4"/>
  <c r="T5" i="4"/>
  <c r="W5" i="4"/>
  <c r="Q26" i="4"/>
  <c r="N26" i="4"/>
  <c r="T8" i="4"/>
  <c r="T6" i="4"/>
  <c r="N25" i="4"/>
  <c r="S27" i="4"/>
  <c r="Q36" i="4"/>
  <c r="N34" i="4"/>
  <c r="S25" i="4"/>
  <c r="I27" i="4"/>
  <c r="J27" i="4"/>
  <c r="N37" i="4"/>
</calcChain>
</file>

<file path=xl/sharedStrings.xml><?xml version="1.0" encoding="utf-8"?>
<sst xmlns="http://schemas.openxmlformats.org/spreadsheetml/2006/main" count="55" uniqueCount="21">
  <si>
    <t>SUJETO</t>
  </si>
  <si>
    <t>SAM</t>
  </si>
  <si>
    <t>REAL</t>
  </si>
  <si>
    <t>∆ SYS</t>
  </si>
  <si>
    <t>∆ DIA</t>
  </si>
  <si>
    <t>∆ PPM</t>
  </si>
  <si>
    <t>SYS</t>
  </si>
  <si>
    <t>DIA</t>
  </si>
  <si>
    <t>PPM</t>
  </si>
  <si>
    <t>mmHg</t>
  </si>
  <si>
    <t>Sexo</t>
  </si>
  <si>
    <t>H</t>
  </si>
  <si>
    <t>M</t>
  </si>
  <si>
    <t>Presión Máxima</t>
  </si>
  <si>
    <t>Presión Mínima</t>
  </si>
  <si>
    <t>Low</t>
  </si>
  <si>
    <t>High</t>
  </si>
  <si>
    <t>Male</t>
  </si>
  <si>
    <t>Female</t>
  </si>
  <si>
    <t>Edad</t>
  </si>
  <si>
    <t>DYA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</si>
</sst>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5" xfId="0" applyBorder="1"/>
    <xf numFmtId="0" fontId="0" fillId="0" borderId="4" xfId="0" applyBorder="1"/>
    <xf numFmtId="0" fontId="0" fillId="0" borderId="0" xfId="0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</dxfs>
  <tableStyles count="0" defaultTableStyle="TableStyleMedium2" defaultPivotStyle="PivotStyleLight16"/>
  <colors>
    <mruColors>
      <color rgb="FFCC66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C66FF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621-45B3-B341-DEDD06EE286E}"/>
              </c:ext>
            </c:extLst>
          </c:dPt>
          <c:cat>
            <c:strRef>
              <c:f>Resultados!$J$24:$J$25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Resultados!$L$24:$L$25</c:f>
              <c:numCache>
                <c:formatCode>General</c:formatCode>
                <c:ptCount val="2"/>
                <c:pt idx="0">
                  <c:v>12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1-45B3-B341-DEDD06EE2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1908431"/>
        <c:axId val="561899791"/>
      </c:barChart>
      <c:catAx>
        <c:axId val="56190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1899791"/>
        <c:crosses val="autoZero"/>
        <c:auto val="1"/>
        <c:lblAlgn val="ctr"/>
        <c:lblOffset val="100"/>
        <c:noMultiLvlLbl val="0"/>
      </c:catAx>
      <c:valAx>
        <c:axId val="561899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Number of volunteers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1908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Resultados!$N$25:$N$28</c:f>
              <c:strCache>
                <c:ptCount val="4"/>
                <c:pt idx="0">
                  <c:v>[100,110)</c:v>
                </c:pt>
                <c:pt idx="1">
                  <c:v>[110,120)</c:v>
                </c:pt>
                <c:pt idx="2">
                  <c:v>[120,130)</c:v>
                </c:pt>
                <c:pt idx="3">
                  <c:v>[130,140]</c:v>
                </c:pt>
              </c:strCache>
            </c:strRef>
          </c:cat>
          <c:val>
            <c:numRef>
              <c:f>Resultados!$Q$25:$Q$28</c:f>
              <c:numCache>
                <c:formatCode>General</c:formatCode>
                <c:ptCount val="4"/>
                <c:pt idx="0">
                  <c:v>6</c:v>
                </c:pt>
                <c:pt idx="1">
                  <c:v>7</c:v>
                </c:pt>
                <c:pt idx="2">
                  <c:v>5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36-4C46-8CFD-18DC426D0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7385279"/>
        <c:axId val="1117385759"/>
      </c:barChart>
      <c:catAx>
        <c:axId val="1117385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Systolic Pressure ranges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7385759"/>
        <c:crosses val="autoZero"/>
        <c:auto val="1"/>
        <c:lblAlgn val="ctr"/>
        <c:lblOffset val="100"/>
        <c:noMultiLvlLbl val="0"/>
      </c:catAx>
      <c:valAx>
        <c:axId val="111738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Number of volunteers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7385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Resultados!$N$34:$N$37</c:f>
              <c:strCache>
                <c:ptCount val="4"/>
                <c:pt idx="0">
                  <c:v>[50,60)</c:v>
                </c:pt>
                <c:pt idx="1">
                  <c:v>[60,70)</c:v>
                </c:pt>
                <c:pt idx="2">
                  <c:v>[70,80)</c:v>
                </c:pt>
                <c:pt idx="3">
                  <c:v>[80,90]</c:v>
                </c:pt>
              </c:strCache>
            </c:strRef>
          </c:cat>
          <c:val>
            <c:numRef>
              <c:f>Resultados!$Q$34:$Q$37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9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8B-4AE5-95A6-6C4DC8B5B6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7385279"/>
        <c:axId val="1117385759"/>
      </c:barChart>
      <c:catAx>
        <c:axId val="1117385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Diastolic Pressure ranges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7385759"/>
        <c:crosses val="autoZero"/>
        <c:auto val="1"/>
        <c:lblAlgn val="ctr"/>
        <c:lblOffset val="100"/>
        <c:noMultiLvlLbl val="0"/>
      </c:catAx>
      <c:valAx>
        <c:axId val="111738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Number of volunteers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7385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Resultados!$S$25:$S$28</c:f>
              <c:strCache>
                <c:ptCount val="4"/>
                <c:pt idx="0">
                  <c:v>[20,30)</c:v>
                </c:pt>
                <c:pt idx="1">
                  <c:v>[30,40)</c:v>
                </c:pt>
                <c:pt idx="2">
                  <c:v>[40,50)</c:v>
                </c:pt>
                <c:pt idx="3">
                  <c:v>[50,60]</c:v>
                </c:pt>
              </c:strCache>
            </c:strRef>
          </c:cat>
          <c:val>
            <c:numRef>
              <c:f>Resultados!$V$25:$V$28</c:f>
              <c:numCache>
                <c:formatCode>General</c:formatCode>
                <c:ptCount val="4"/>
                <c:pt idx="0">
                  <c:v>11</c:v>
                </c:pt>
                <c:pt idx="1">
                  <c:v>5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5C-40B1-BE1F-9FE8594665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7385279"/>
        <c:axId val="1117385759"/>
      </c:barChart>
      <c:catAx>
        <c:axId val="1117385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7385759"/>
        <c:crosses val="autoZero"/>
        <c:auto val="1"/>
        <c:lblAlgn val="ctr"/>
        <c:lblOffset val="100"/>
        <c:noMultiLvlLbl val="0"/>
      </c:catAx>
      <c:valAx>
        <c:axId val="111738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Number of volunteers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7385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Resultados!$T$5:$T$9</c:f>
              <c:strCache>
                <c:ptCount val="5"/>
                <c:pt idx="0">
                  <c:v>[0,5)</c:v>
                </c:pt>
                <c:pt idx="1">
                  <c:v>[5,10)</c:v>
                </c:pt>
                <c:pt idx="2">
                  <c:v>[10,15)</c:v>
                </c:pt>
                <c:pt idx="3">
                  <c:v>[15,20)</c:v>
                </c:pt>
                <c:pt idx="4">
                  <c:v>[20,25]</c:v>
                </c:pt>
              </c:strCache>
            </c:strRef>
          </c:cat>
          <c:val>
            <c:numRef>
              <c:f>Resultados!$W$5:$W$9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F-490F-A06A-852553E36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7385279"/>
        <c:axId val="1117385759"/>
      </c:barChart>
      <c:catAx>
        <c:axId val="1117385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Systolic Pressure errors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7385759"/>
        <c:crosses val="autoZero"/>
        <c:auto val="1"/>
        <c:lblAlgn val="ctr"/>
        <c:lblOffset val="100"/>
        <c:noMultiLvlLbl val="0"/>
      </c:catAx>
      <c:valAx>
        <c:axId val="111738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Number of volunteers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7385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Resultados!$T$5:$T$9</c:f>
              <c:strCache>
                <c:ptCount val="5"/>
                <c:pt idx="0">
                  <c:v>[0,5)</c:v>
                </c:pt>
                <c:pt idx="1">
                  <c:v>[5,10)</c:v>
                </c:pt>
                <c:pt idx="2">
                  <c:v>[10,15)</c:v>
                </c:pt>
                <c:pt idx="3">
                  <c:v>[15,20)</c:v>
                </c:pt>
                <c:pt idx="4">
                  <c:v>[20,25]</c:v>
                </c:pt>
              </c:strCache>
            </c:strRef>
          </c:cat>
          <c:val>
            <c:numRef>
              <c:f>Resultados!$X$5:$X$9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73-480E-8403-3144E0C12B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7385279"/>
        <c:axId val="1117385759"/>
      </c:barChart>
      <c:catAx>
        <c:axId val="1117385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Diastolic Pressure errors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7385759"/>
        <c:crosses val="autoZero"/>
        <c:auto val="1"/>
        <c:lblAlgn val="ctr"/>
        <c:lblOffset val="100"/>
        <c:noMultiLvlLbl val="0"/>
      </c:catAx>
      <c:valAx>
        <c:axId val="111738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Number of volunteers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7385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Resultados!$T$5:$T$9</c:f>
              <c:strCache>
                <c:ptCount val="5"/>
                <c:pt idx="0">
                  <c:v>[0,5)</c:v>
                </c:pt>
                <c:pt idx="1">
                  <c:v>[5,10)</c:v>
                </c:pt>
                <c:pt idx="2">
                  <c:v>[10,15)</c:v>
                </c:pt>
                <c:pt idx="3">
                  <c:v>[15,20)</c:v>
                </c:pt>
                <c:pt idx="4">
                  <c:v>[20,25]</c:v>
                </c:pt>
              </c:strCache>
            </c:strRef>
          </c:cat>
          <c:val>
            <c:numRef>
              <c:f>Resultados!$Y$5:$Y$9</c:f>
              <c:numCache>
                <c:formatCode>General</c:formatCode>
                <c:ptCount val="5"/>
                <c:pt idx="0">
                  <c:v>4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65-4DFA-AA98-AD0AFAB2B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7385279"/>
        <c:axId val="1117385759"/>
      </c:barChart>
      <c:catAx>
        <c:axId val="1117385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Pulse errors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7385759"/>
        <c:crosses val="autoZero"/>
        <c:auto val="1"/>
        <c:lblAlgn val="ctr"/>
        <c:lblOffset val="100"/>
        <c:noMultiLvlLbl val="0"/>
      </c:catAx>
      <c:valAx>
        <c:axId val="111738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Number of volunteers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7385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314325</xdr:colOff>
      <xdr:row>28</xdr:row>
      <xdr:rowOff>84137</xdr:rowOff>
    </xdr:from>
    <xdr:to>
      <xdr:col>11</xdr:col>
      <xdr:colOff>358775</xdr:colOff>
      <xdr:row>43</xdr:row>
      <xdr:rowOff>125412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49E4E3-466C-4D5B-BB2E-B52DBEB56A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752475</xdr:colOff>
      <xdr:row>38</xdr:row>
      <xdr:rowOff>141286</xdr:rowOff>
    </xdr:from>
    <xdr:to>
      <xdr:col>18</xdr:col>
      <xdr:colOff>66675</xdr:colOff>
      <xdr:row>55</xdr:row>
      <xdr:rowOff>31749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95E7643-2012-4CF0-BBE2-A2B2054883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190500</xdr:colOff>
      <xdr:row>45</xdr:row>
      <xdr:rowOff>66675</xdr:rowOff>
    </xdr:from>
    <xdr:to>
      <xdr:col>11</xdr:col>
      <xdr:colOff>314325</xdr:colOff>
      <xdr:row>61</xdr:row>
      <xdr:rowOff>134938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12884B5-A839-4F38-A2D4-3594D2A91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142875</xdr:colOff>
      <xdr:row>30</xdr:row>
      <xdr:rowOff>47625</xdr:rowOff>
    </xdr:from>
    <xdr:to>
      <xdr:col>25</xdr:col>
      <xdr:colOff>219075</xdr:colOff>
      <xdr:row>46</xdr:row>
      <xdr:rowOff>115888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CCEF894-B893-4909-9A83-438B829316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203200</xdr:colOff>
      <xdr:row>1</xdr:row>
      <xdr:rowOff>120650</xdr:rowOff>
    </xdr:from>
    <xdr:to>
      <xdr:col>32</xdr:col>
      <xdr:colOff>279400</xdr:colOff>
      <xdr:row>18</xdr:row>
      <xdr:rowOff>4763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F6EC94A-0CB5-43EF-A2EB-6183B3B3A0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190500</xdr:colOff>
      <xdr:row>18</xdr:row>
      <xdr:rowOff>139700</xdr:rowOff>
    </xdr:from>
    <xdr:to>
      <xdr:col>32</xdr:col>
      <xdr:colOff>266700</xdr:colOff>
      <xdr:row>35</xdr:row>
      <xdr:rowOff>30163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CBF26E7-846F-4253-A148-9E71F60CC7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133350</xdr:colOff>
      <xdr:row>35</xdr:row>
      <xdr:rowOff>158750</xdr:rowOff>
    </xdr:from>
    <xdr:to>
      <xdr:col>32</xdr:col>
      <xdr:colOff>209550</xdr:colOff>
      <xdr:row>52</xdr:row>
      <xdr:rowOff>49213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C5775D7-B175-4706-97B0-3AB19E4ABA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AR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02ADF0"/>
      </a:accent1>
      <a:accent2>
        <a:srgbClr val="0073BC"/>
      </a:accent2>
      <a:accent3>
        <a:srgbClr val="A5A5A5"/>
      </a:accent3>
      <a:accent4>
        <a:srgbClr val="F0C802"/>
      </a:accent4>
      <a:accent5>
        <a:srgbClr val="F0029B"/>
      </a:accent5>
      <a:accent6>
        <a:srgbClr val="02F02B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314C1-205F-4A68-AD8E-329650D6C955}">
  <dimension ref="A1:Y37"/>
  <sheetViews>
    <sheetView tabSelected="1" workbookViewId="0">
      <selection activeCell="A3" sqref="A3"/>
    </sheetView>
  </sheetViews>
  <sheetFormatPr baseColWidth="10" defaultRowHeight="14.5" x14ac:dyDescent="0.35"/>
  <cols>
    <col min="1" max="1" width="10.81640625" style="1" customWidth="1"/>
    <col min="2" max="10" width="10.81640625" style="8" customWidth="1"/>
  </cols>
  <sheetData>
    <row r="1" spans="1:25" x14ac:dyDescent="0.35">
      <c r="A1" s="14" t="s">
        <v>0</v>
      </c>
      <c r="B1" s="10" t="s">
        <v>1</v>
      </c>
      <c r="C1" s="11"/>
      <c r="D1" s="12"/>
      <c r="E1" s="10" t="s">
        <v>2</v>
      </c>
      <c r="F1" s="11"/>
      <c r="G1" s="12"/>
      <c r="H1" s="6" t="s">
        <v>3</v>
      </c>
      <c r="I1" s="6" t="s">
        <v>4</v>
      </c>
      <c r="J1" s="7" t="s">
        <v>5</v>
      </c>
      <c r="L1" s="9" t="s">
        <v>10</v>
      </c>
      <c r="M1" s="9" t="s">
        <v>19</v>
      </c>
      <c r="O1" s="9"/>
    </row>
    <row r="2" spans="1:25" ht="15" customHeight="1" thickBot="1" x14ac:dyDescent="0.4">
      <c r="A2" s="15"/>
      <c r="B2" s="2" t="s">
        <v>6</v>
      </c>
      <c r="C2" s="3" t="s">
        <v>7</v>
      </c>
      <c r="D2" s="4" t="s">
        <v>8</v>
      </c>
      <c r="E2" s="2" t="s">
        <v>6</v>
      </c>
      <c r="F2" s="3" t="s">
        <v>7</v>
      </c>
      <c r="G2" s="4" t="s">
        <v>8</v>
      </c>
      <c r="H2" s="2" t="s">
        <v>9</v>
      </c>
      <c r="I2" s="3" t="s">
        <v>9</v>
      </c>
      <c r="J2" s="5" t="s">
        <v>8</v>
      </c>
    </row>
    <row r="3" spans="1:25" x14ac:dyDescent="0.35">
      <c r="A3" s="1">
        <v>1</v>
      </c>
      <c r="B3" s="8">
        <v>123.5</v>
      </c>
      <c r="C3" s="8">
        <v>82</v>
      </c>
      <c r="D3" s="8">
        <v>84</v>
      </c>
      <c r="E3" s="8">
        <v>127</v>
      </c>
      <c r="F3" s="8">
        <v>78.5</v>
      </c>
      <c r="G3" s="8">
        <v>78</v>
      </c>
      <c r="H3" s="8">
        <v>3.5</v>
      </c>
      <c r="I3" s="8">
        <v>4</v>
      </c>
      <c r="J3" s="8">
        <v>5.5</v>
      </c>
      <c r="L3" t="s">
        <v>11</v>
      </c>
      <c r="M3">
        <v>25</v>
      </c>
    </row>
    <row r="4" spans="1:25" x14ac:dyDescent="0.35">
      <c r="A4" s="1">
        <v>2</v>
      </c>
      <c r="B4" s="8">
        <v>122</v>
      </c>
      <c r="C4" s="8">
        <v>85.5</v>
      </c>
      <c r="D4" s="8">
        <v>88.5</v>
      </c>
      <c r="E4" s="8">
        <v>111.5</v>
      </c>
      <c r="F4" s="8">
        <v>71</v>
      </c>
      <c r="G4" s="8">
        <v>71.5</v>
      </c>
      <c r="H4" s="8">
        <v>10.5</v>
      </c>
      <c r="I4" s="8">
        <v>13.5</v>
      </c>
      <c r="J4" s="8">
        <v>17</v>
      </c>
      <c r="L4" t="s">
        <v>11</v>
      </c>
      <c r="M4">
        <v>27</v>
      </c>
      <c r="Q4" t="s">
        <v>6</v>
      </c>
      <c r="W4" t="s">
        <v>6</v>
      </c>
      <c r="X4" t="s">
        <v>20</v>
      </c>
      <c r="Y4" t="s">
        <v>8</v>
      </c>
    </row>
    <row r="5" spans="1:25" x14ac:dyDescent="0.35">
      <c r="A5" s="1">
        <v>3</v>
      </c>
      <c r="B5" s="8">
        <v>118.5</v>
      </c>
      <c r="C5" s="8">
        <v>74</v>
      </c>
      <c r="D5" s="8">
        <v>73</v>
      </c>
      <c r="E5" s="8">
        <v>106.5</v>
      </c>
      <c r="F5" s="8">
        <v>66</v>
      </c>
      <c r="G5" s="8">
        <v>66.5</v>
      </c>
      <c r="H5" s="8">
        <v>12</v>
      </c>
      <c r="I5" s="8">
        <v>8</v>
      </c>
      <c r="J5" s="8">
        <v>7.5</v>
      </c>
      <c r="L5" t="s">
        <v>12</v>
      </c>
      <c r="M5">
        <v>22</v>
      </c>
      <c r="O5">
        <v>0</v>
      </c>
      <c r="P5">
        <v>90</v>
      </c>
      <c r="Q5">
        <f>COUNTIFS($E$3:$E$19,"&gt;=" &amp; O5,$E$3:$E$19,"&lt;" &amp; P5)</f>
        <v>0</v>
      </c>
      <c r="R5" s="13" t="s">
        <v>15</v>
      </c>
      <c r="T5" t="str">
        <f>"[" &amp; U5 &amp; "," &amp; V5 &amp; ")"</f>
        <v>[0,5)</v>
      </c>
      <c r="U5">
        <v>0</v>
      </c>
      <c r="V5">
        <f>U6</f>
        <v>5</v>
      </c>
      <c r="W5">
        <f>COUNTIFS($H$2:$H$21,"&gt;=" &amp; U5,$H$2:$H$21,"&lt;" &amp; V5)</f>
        <v>5</v>
      </c>
      <c r="X5">
        <f>COUNTIFS($I$3:$I$22,"&gt;=" &amp; U5,$I$3:$I$22,"&lt;" &amp; V5)</f>
        <v>6</v>
      </c>
      <c r="Y5">
        <f>COUNTIFS($J$3:$J$22,"&gt;=" &amp; U5,$J$3:$J$22,"&lt;" &amp; V5)</f>
        <v>4</v>
      </c>
    </row>
    <row r="6" spans="1:25" x14ac:dyDescent="0.35">
      <c r="A6" s="1">
        <v>4</v>
      </c>
      <c r="B6" s="8">
        <v>131</v>
      </c>
      <c r="C6" s="8">
        <v>77</v>
      </c>
      <c r="D6" s="8">
        <v>77.5</v>
      </c>
      <c r="E6" s="8">
        <v>134</v>
      </c>
      <c r="F6" s="8">
        <v>85.5</v>
      </c>
      <c r="G6" s="8">
        <v>85</v>
      </c>
      <c r="H6" s="8">
        <v>3</v>
      </c>
      <c r="I6" s="8">
        <v>8.5</v>
      </c>
      <c r="J6" s="8">
        <v>8</v>
      </c>
      <c r="L6" t="s">
        <v>11</v>
      </c>
      <c r="M6">
        <v>35</v>
      </c>
      <c r="O6">
        <f>P5</f>
        <v>90</v>
      </c>
      <c r="P6">
        <v>130</v>
      </c>
      <c r="Q6">
        <f t="shared" ref="Q6:Q9" si="0">COUNTIFS($E$3:$E$19,"&gt;=" &amp; O6,$E$3:$E$19,"&lt;" &amp; P6)</f>
        <v>16</v>
      </c>
      <c r="R6" s="13"/>
      <c r="T6" t="str">
        <f>"[" &amp; U6 &amp; "," &amp; V6 &amp; ")"</f>
        <v>[5,10)</v>
      </c>
      <c r="U6">
        <v>5</v>
      </c>
      <c r="V6">
        <f t="shared" ref="V6:V9" si="1">U7</f>
        <v>10</v>
      </c>
      <c r="W6">
        <f t="shared" ref="W6:W9" si="2">COUNTIFS($H$2:$H$21,"&gt;=" &amp; U6,$H$2:$H$21,"&lt;" &amp; V6)</f>
        <v>4</v>
      </c>
      <c r="X6">
        <f t="shared" ref="X6:X9" si="3">COUNTIFS($I$3:$I$22,"&gt;=" &amp; U6,$I$3:$I$22,"&lt;" &amp; V6)</f>
        <v>8</v>
      </c>
      <c r="Y6">
        <f t="shared" ref="Y6:Y9" si="4">COUNTIFS($J$3:$J$22,"&gt;=" &amp; U6,$J$3:$J$22,"&lt;" &amp; V6)</f>
        <v>11</v>
      </c>
    </row>
    <row r="7" spans="1:25" x14ac:dyDescent="0.35">
      <c r="A7" s="1">
        <v>5</v>
      </c>
      <c r="B7" s="8">
        <v>99.5</v>
      </c>
      <c r="C7" s="8">
        <v>68</v>
      </c>
      <c r="D7" s="8">
        <v>70.5</v>
      </c>
      <c r="E7" s="8">
        <v>119</v>
      </c>
      <c r="F7" s="8">
        <v>59.5</v>
      </c>
      <c r="G7" s="8">
        <v>59</v>
      </c>
      <c r="H7" s="8">
        <v>20</v>
      </c>
      <c r="I7" s="8">
        <v>9.5</v>
      </c>
      <c r="J7" s="8">
        <v>11</v>
      </c>
      <c r="L7" t="s">
        <v>11</v>
      </c>
      <c r="M7">
        <v>32</v>
      </c>
      <c r="O7">
        <f>P6</f>
        <v>130</v>
      </c>
      <c r="P7">
        <v>160</v>
      </c>
      <c r="Q7">
        <f t="shared" si="0"/>
        <v>1</v>
      </c>
      <c r="T7" t="str">
        <f t="shared" ref="T7:T8" si="5">"[" &amp; U7 &amp; "," &amp; V7 &amp; ")"</f>
        <v>[10,15)</v>
      </c>
      <c r="U7">
        <v>10</v>
      </c>
      <c r="V7">
        <f t="shared" si="1"/>
        <v>15</v>
      </c>
      <c r="W7">
        <f t="shared" si="2"/>
        <v>4</v>
      </c>
      <c r="X7">
        <f t="shared" si="3"/>
        <v>2</v>
      </c>
      <c r="Y7">
        <f t="shared" si="4"/>
        <v>3</v>
      </c>
    </row>
    <row r="8" spans="1:25" x14ac:dyDescent="0.35">
      <c r="A8" s="1">
        <v>6</v>
      </c>
      <c r="B8" s="8">
        <v>118</v>
      </c>
      <c r="C8" s="8">
        <v>66.5</v>
      </c>
      <c r="D8" s="8">
        <v>78</v>
      </c>
      <c r="E8" s="8">
        <v>110.5</v>
      </c>
      <c r="F8" s="8">
        <v>71.5</v>
      </c>
      <c r="G8" s="8">
        <v>71</v>
      </c>
      <c r="H8" s="8">
        <v>8</v>
      </c>
      <c r="I8" s="8">
        <v>5.5</v>
      </c>
      <c r="J8" s="8">
        <v>7</v>
      </c>
      <c r="L8" t="s">
        <v>11</v>
      </c>
      <c r="M8">
        <v>30</v>
      </c>
      <c r="O8">
        <f>P7</f>
        <v>160</v>
      </c>
      <c r="P8">
        <v>180</v>
      </c>
      <c r="Q8">
        <f t="shared" si="0"/>
        <v>0</v>
      </c>
      <c r="R8" s="13" t="s">
        <v>16</v>
      </c>
      <c r="T8" t="str">
        <f t="shared" si="5"/>
        <v>[15,20)</v>
      </c>
      <c r="U8">
        <v>15</v>
      </c>
      <c r="V8">
        <f t="shared" si="1"/>
        <v>20</v>
      </c>
      <c r="W8">
        <f t="shared" si="2"/>
        <v>2</v>
      </c>
      <c r="X8">
        <f t="shared" si="3"/>
        <v>1</v>
      </c>
      <c r="Y8">
        <f t="shared" si="4"/>
        <v>1</v>
      </c>
    </row>
    <row r="9" spans="1:25" x14ac:dyDescent="0.35">
      <c r="A9" s="1">
        <v>7</v>
      </c>
      <c r="B9" s="8">
        <v>116.5</v>
      </c>
      <c r="C9" s="8">
        <v>97</v>
      </c>
      <c r="D9" s="8">
        <v>64</v>
      </c>
      <c r="E9" s="8">
        <v>109</v>
      </c>
      <c r="F9" s="8">
        <v>69.5</v>
      </c>
      <c r="G9" s="8">
        <v>69</v>
      </c>
      <c r="H9" s="8">
        <v>7.5</v>
      </c>
      <c r="I9" s="8">
        <v>28</v>
      </c>
      <c r="J9" s="8">
        <v>5</v>
      </c>
      <c r="L9" t="s">
        <v>11</v>
      </c>
      <c r="M9">
        <v>27</v>
      </c>
      <c r="O9">
        <f>P8</f>
        <v>180</v>
      </c>
      <c r="P9">
        <v>500</v>
      </c>
      <c r="Q9">
        <f t="shared" si="0"/>
        <v>0</v>
      </c>
      <c r="R9" s="13"/>
      <c r="T9" t="str">
        <f>"[" &amp; U9 &amp; "," &amp; V9 &amp; "]"</f>
        <v>[20,25]</v>
      </c>
      <c r="U9">
        <v>20</v>
      </c>
      <c r="V9">
        <f t="shared" si="1"/>
        <v>25</v>
      </c>
      <c r="W9">
        <f t="shared" si="2"/>
        <v>2</v>
      </c>
      <c r="X9">
        <f t="shared" si="3"/>
        <v>2</v>
      </c>
      <c r="Y9">
        <f t="shared" si="4"/>
        <v>0</v>
      </c>
    </row>
    <row r="10" spans="1:25" x14ac:dyDescent="0.35">
      <c r="A10" s="1">
        <v>8</v>
      </c>
      <c r="B10" s="8">
        <v>117</v>
      </c>
      <c r="C10" s="8">
        <v>93.5</v>
      </c>
      <c r="D10" s="8">
        <v>75</v>
      </c>
      <c r="E10" s="8">
        <v>105.5</v>
      </c>
      <c r="F10" s="8">
        <v>74</v>
      </c>
      <c r="G10" s="8">
        <v>74.5</v>
      </c>
      <c r="H10" s="8">
        <v>12</v>
      </c>
      <c r="I10" s="8">
        <v>19.5</v>
      </c>
      <c r="J10" s="8">
        <v>1</v>
      </c>
      <c r="L10" t="s">
        <v>11</v>
      </c>
      <c r="M10">
        <v>21</v>
      </c>
      <c r="U10">
        <v>25</v>
      </c>
    </row>
    <row r="11" spans="1:25" x14ac:dyDescent="0.35">
      <c r="A11" s="1">
        <v>9</v>
      </c>
      <c r="B11" s="8">
        <v>133.5</v>
      </c>
      <c r="C11" s="8">
        <v>85.5</v>
      </c>
      <c r="D11" s="8">
        <v>86</v>
      </c>
      <c r="E11" s="8">
        <v>117.5</v>
      </c>
      <c r="F11" s="8">
        <v>72</v>
      </c>
      <c r="G11" s="8">
        <v>72.5</v>
      </c>
      <c r="H11" s="8">
        <v>15.5</v>
      </c>
      <c r="I11" s="8">
        <v>13.5</v>
      </c>
      <c r="J11" s="8">
        <v>14.5</v>
      </c>
      <c r="L11" t="s">
        <v>11</v>
      </c>
      <c r="M11">
        <v>27</v>
      </c>
    </row>
    <row r="12" spans="1:25" x14ac:dyDescent="0.35">
      <c r="A12" s="1">
        <v>10</v>
      </c>
      <c r="B12" s="8">
        <v>99</v>
      </c>
      <c r="C12" s="8">
        <v>61.5</v>
      </c>
      <c r="D12" s="8">
        <v>61</v>
      </c>
      <c r="E12" s="8">
        <v>108</v>
      </c>
      <c r="F12" s="8">
        <v>66.5</v>
      </c>
      <c r="G12" s="8">
        <v>66</v>
      </c>
      <c r="H12" s="8">
        <v>9.5</v>
      </c>
      <c r="I12" s="8">
        <v>5</v>
      </c>
      <c r="J12" s="8">
        <v>5.5</v>
      </c>
      <c r="L12" t="s">
        <v>11</v>
      </c>
      <c r="M12">
        <v>21</v>
      </c>
      <c r="Q12" t="s">
        <v>7</v>
      </c>
    </row>
    <row r="13" spans="1:25" x14ac:dyDescent="0.35">
      <c r="A13" s="1">
        <v>11</v>
      </c>
      <c r="B13" s="8">
        <v>103</v>
      </c>
      <c r="C13" s="8">
        <v>76.5</v>
      </c>
      <c r="D13" s="8">
        <v>84</v>
      </c>
      <c r="E13" s="8">
        <v>116.5</v>
      </c>
      <c r="F13" s="8">
        <v>76</v>
      </c>
      <c r="G13" s="8">
        <v>76.5</v>
      </c>
      <c r="H13" s="8">
        <v>13</v>
      </c>
      <c r="I13" s="8">
        <v>6.5</v>
      </c>
      <c r="J13" s="8">
        <v>8</v>
      </c>
      <c r="L13" t="s">
        <v>11</v>
      </c>
      <c r="M13">
        <v>41</v>
      </c>
      <c r="O13">
        <v>0</v>
      </c>
      <c r="P13">
        <v>40</v>
      </c>
      <c r="Q13">
        <f>COUNTIFS($F$3:$F$19,"&gt;=" &amp; O13,$F$3:$F$19,"&lt;" &amp; P13)</f>
        <v>0</v>
      </c>
      <c r="R13" s="13" t="s">
        <v>15</v>
      </c>
    </row>
    <row r="14" spans="1:25" x14ac:dyDescent="0.35">
      <c r="A14" s="1">
        <v>12</v>
      </c>
      <c r="B14" s="8">
        <v>122.5</v>
      </c>
      <c r="C14" s="8">
        <v>60</v>
      </c>
      <c r="D14" s="8">
        <v>61.5</v>
      </c>
      <c r="E14" s="8">
        <v>120</v>
      </c>
      <c r="F14" s="8">
        <v>63.5</v>
      </c>
      <c r="G14" s="8">
        <v>63</v>
      </c>
      <c r="H14" s="8">
        <v>2.5</v>
      </c>
      <c r="I14" s="8">
        <v>3.5</v>
      </c>
      <c r="J14" s="8">
        <v>2</v>
      </c>
      <c r="L14" t="s">
        <v>12</v>
      </c>
      <c r="M14">
        <v>36</v>
      </c>
      <c r="O14">
        <f>P13</f>
        <v>40</v>
      </c>
      <c r="P14">
        <v>80</v>
      </c>
      <c r="Q14">
        <f t="shared" ref="Q14:Q17" si="6">COUNTIFS($F$3:$F$19,"&gt;=" &amp; O14,$F$3:$F$19,"&lt;" &amp; P14)</f>
        <v>14</v>
      </c>
      <c r="R14" s="13"/>
    </row>
    <row r="15" spans="1:25" x14ac:dyDescent="0.35">
      <c r="A15" s="1">
        <v>13</v>
      </c>
      <c r="B15" s="8">
        <v>146</v>
      </c>
      <c r="C15" s="8">
        <v>104.5</v>
      </c>
      <c r="D15" s="8">
        <v>76.5</v>
      </c>
      <c r="E15" s="8">
        <v>121</v>
      </c>
      <c r="F15" s="8">
        <v>81</v>
      </c>
      <c r="G15" s="8">
        <v>81.5</v>
      </c>
      <c r="H15" s="8">
        <v>25.5</v>
      </c>
      <c r="I15" s="8">
        <v>23</v>
      </c>
      <c r="J15" s="8">
        <v>5.5</v>
      </c>
      <c r="L15" t="s">
        <v>12</v>
      </c>
      <c r="M15">
        <v>23</v>
      </c>
      <c r="O15">
        <f>P14</f>
        <v>80</v>
      </c>
      <c r="P15">
        <v>100</v>
      </c>
      <c r="Q15">
        <f t="shared" si="6"/>
        <v>3</v>
      </c>
    </row>
    <row r="16" spans="1:25" x14ac:dyDescent="0.35">
      <c r="A16" s="1">
        <v>14</v>
      </c>
      <c r="B16" s="8">
        <v>152</v>
      </c>
      <c r="C16" s="8">
        <v>83.5</v>
      </c>
      <c r="D16" s="8">
        <v>130</v>
      </c>
      <c r="E16" s="8">
        <v>105.5</v>
      </c>
      <c r="F16" s="8">
        <v>74.5</v>
      </c>
      <c r="G16" s="8">
        <v>74</v>
      </c>
      <c r="H16" s="8">
        <v>47</v>
      </c>
      <c r="I16" s="8">
        <v>9.5</v>
      </c>
      <c r="J16" s="8">
        <v>56</v>
      </c>
      <c r="L16" t="s">
        <v>12</v>
      </c>
      <c r="M16">
        <v>58</v>
      </c>
      <c r="O16">
        <f>P15</f>
        <v>100</v>
      </c>
      <c r="P16">
        <v>130</v>
      </c>
      <c r="Q16">
        <f t="shared" si="6"/>
        <v>0</v>
      </c>
      <c r="R16" s="13" t="s">
        <v>16</v>
      </c>
    </row>
    <row r="17" spans="1:22" x14ac:dyDescent="0.35">
      <c r="A17" s="1">
        <v>15</v>
      </c>
      <c r="B17" s="8">
        <v>127.5</v>
      </c>
      <c r="C17" s="8">
        <v>69</v>
      </c>
      <c r="D17" s="8">
        <v>85.5</v>
      </c>
      <c r="E17" s="8">
        <v>108.5</v>
      </c>
      <c r="F17" s="8">
        <v>71.5</v>
      </c>
      <c r="G17" s="8">
        <v>71</v>
      </c>
      <c r="H17" s="8">
        <v>18</v>
      </c>
      <c r="I17" s="8">
        <v>2.5</v>
      </c>
      <c r="J17" s="8">
        <v>13.5</v>
      </c>
      <c r="L17" t="s">
        <v>12</v>
      </c>
      <c r="M17">
        <v>22</v>
      </c>
      <c r="O17">
        <f>P16</f>
        <v>130</v>
      </c>
      <c r="P17">
        <v>500</v>
      </c>
      <c r="Q17">
        <f t="shared" si="6"/>
        <v>0</v>
      </c>
      <c r="R17" s="13"/>
    </row>
    <row r="18" spans="1:22" x14ac:dyDescent="0.35">
      <c r="A18" s="1">
        <v>16</v>
      </c>
      <c r="B18" s="8">
        <v>121</v>
      </c>
      <c r="C18" s="8">
        <v>85</v>
      </c>
      <c r="D18" s="8">
        <v>85.5</v>
      </c>
      <c r="E18" s="8">
        <v>118.5</v>
      </c>
      <c r="F18" s="8">
        <v>77.5</v>
      </c>
      <c r="G18" s="8">
        <v>77</v>
      </c>
      <c r="H18" s="8">
        <v>3.5</v>
      </c>
      <c r="I18" s="8">
        <v>8</v>
      </c>
      <c r="J18" s="8">
        <v>8.5</v>
      </c>
      <c r="L18" t="s">
        <v>12</v>
      </c>
      <c r="M18">
        <v>31</v>
      </c>
    </row>
    <row r="19" spans="1:22" x14ac:dyDescent="0.35">
      <c r="A19" s="1">
        <v>17</v>
      </c>
      <c r="B19" s="8">
        <v>147.5</v>
      </c>
      <c r="C19" s="8">
        <v>104</v>
      </c>
      <c r="D19" s="8">
        <v>90</v>
      </c>
      <c r="E19" s="8">
        <v>126.5</v>
      </c>
      <c r="F19" s="8">
        <v>82.5</v>
      </c>
      <c r="G19" s="8">
        <v>82</v>
      </c>
      <c r="H19" s="8">
        <v>21.5</v>
      </c>
      <c r="I19" s="8">
        <v>22</v>
      </c>
      <c r="J19" s="8">
        <v>8</v>
      </c>
      <c r="L19" t="s">
        <v>12</v>
      </c>
      <c r="M19">
        <v>23</v>
      </c>
    </row>
    <row r="20" spans="1:22" x14ac:dyDescent="0.35">
      <c r="A20" s="1">
        <v>18</v>
      </c>
      <c r="B20" s="8">
        <v>110</v>
      </c>
      <c r="C20" s="8">
        <v>63.5</v>
      </c>
      <c r="D20" s="8">
        <v>70.5</v>
      </c>
      <c r="E20" s="8">
        <v>118</v>
      </c>
      <c r="F20" s="8">
        <v>59.5</v>
      </c>
      <c r="G20" s="8">
        <v>68</v>
      </c>
      <c r="H20" s="8">
        <v>8.5</v>
      </c>
      <c r="I20" s="8">
        <v>4.5</v>
      </c>
      <c r="J20" s="8">
        <v>1.5</v>
      </c>
      <c r="L20" t="s">
        <v>12</v>
      </c>
      <c r="M20">
        <v>24</v>
      </c>
    </row>
    <row r="21" spans="1:22" x14ac:dyDescent="0.35">
      <c r="A21" s="1">
        <v>19</v>
      </c>
      <c r="B21" s="8">
        <v>126.5</v>
      </c>
      <c r="C21" s="8">
        <v>86</v>
      </c>
      <c r="D21" s="8">
        <v>93.5</v>
      </c>
      <c r="E21" s="8">
        <v>127.5</v>
      </c>
      <c r="F21" s="8">
        <v>83</v>
      </c>
      <c r="G21" s="8">
        <v>88.5</v>
      </c>
      <c r="H21" s="8">
        <v>1</v>
      </c>
      <c r="I21" s="8">
        <v>3.5</v>
      </c>
      <c r="J21" s="8">
        <v>5</v>
      </c>
      <c r="L21" t="s">
        <v>11</v>
      </c>
      <c r="M21">
        <v>40</v>
      </c>
    </row>
    <row r="22" spans="1:22" x14ac:dyDescent="0.35">
      <c r="A22" s="1">
        <v>20</v>
      </c>
      <c r="B22" s="8">
        <v>131</v>
      </c>
      <c r="C22" s="8">
        <v>78.5</v>
      </c>
      <c r="D22" s="8">
        <v>82</v>
      </c>
      <c r="E22" s="8">
        <v>133.5</v>
      </c>
      <c r="F22" s="8">
        <v>80.5</v>
      </c>
      <c r="G22" s="8">
        <v>86</v>
      </c>
      <c r="H22" s="8">
        <v>2.5</v>
      </c>
      <c r="I22" s="8">
        <v>2</v>
      </c>
      <c r="J22" s="8">
        <v>4.5</v>
      </c>
      <c r="L22" t="s">
        <v>11</v>
      </c>
      <c r="M22">
        <v>55</v>
      </c>
    </row>
    <row r="23" spans="1:22" x14ac:dyDescent="0.35">
      <c r="Q23" t="s">
        <v>6</v>
      </c>
      <c r="V23" t="s">
        <v>6</v>
      </c>
    </row>
    <row r="24" spans="1:22" x14ac:dyDescent="0.35">
      <c r="J24" s="8" t="s">
        <v>17</v>
      </c>
      <c r="K24" t="s">
        <v>11</v>
      </c>
      <c r="L24">
        <f>COUNTIF(L3:L22,K24)</f>
        <v>12</v>
      </c>
      <c r="O24">
        <v>90</v>
      </c>
      <c r="P24">
        <f>O25</f>
        <v>100</v>
      </c>
      <c r="Q24">
        <f>COUNTIFS($E$3:$E$22,"&gt;=" &amp; O24,$E$3:$E$22,"&lt;" &amp; P24)</f>
        <v>0</v>
      </c>
      <c r="T24">
        <v>90</v>
      </c>
      <c r="U24">
        <f>T25</f>
        <v>20</v>
      </c>
      <c r="V24">
        <f>COUNTIFS($M$3:$M$22,"&gt;=" &amp; T24,$M$3:$M$22,"&lt;" &amp; U24)</f>
        <v>0</v>
      </c>
    </row>
    <row r="25" spans="1:22" x14ac:dyDescent="0.35">
      <c r="J25" s="8" t="s">
        <v>18</v>
      </c>
      <c r="K25" t="s">
        <v>12</v>
      </c>
      <c r="L25">
        <f>COUNTIF(L3:L22,K25)</f>
        <v>8</v>
      </c>
      <c r="N25" t="str">
        <f>"[" &amp; O25 &amp; "," &amp; P25 &amp; ")"</f>
        <v>[100,110)</v>
      </c>
      <c r="O25">
        <v>100</v>
      </c>
      <c r="P25">
        <f t="shared" ref="P25:P27" si="7">O26</f>
        <v>110</v>
      </c>
      <c r="Q25">
        <f t="shared" ref="Q25:Q28" si="8">COUNTIFS($E$3:$E$22,"&gt;=" &amp; O25,$E$3:$E$22,"&lt;" &amp; P25)</f>
        <v>6</v>
      </c>
      <c r="S25" t="str">
        <f>"[" &amp; T25 &amp; "," &amp; U25 &amp; ")"</f>
        <v>[20,30)</v>
      </c>
      <c r="T25">
        <v>20</v>
      </c>
      <c r="U25">
        <f t="shared" ref="U25:U27" si="9">T26</f>
        <v>30</v>
      </c>
      <c r="V25">
        <f t="shared" ref="V25:V28" si="10">COUNTIFS($M$3:$M$22,"&gt;=" &amp; T25,$M$3:$M$22,"&lt;" &amp; U25)</f>
        <v>11</v>
      </c>
    </row>
    <row r="26" spans="1:22" x14ac:dyDescent="0.35">
      <c r="A26" s="1" t="s">
        <v>13</v>
      </c>
      <c r="E26" s="8">
        <f>MAX(E$3:E$22)</f>
        <v>134</v>
      </c>
      <c r="F26" s="8">
        <f>MAX(F$3:F$22)</f>
        <v>85.5</v>
      </c>
      <c r="H26" s="8">
        <f>AVERAGE(H3:H22)</f>
        <v>12.225</v>
      </c>
      <c r="I26" s="8">
        <f>AVERAGE(I3:I22)</f>
        <v>10</v>
      </c>
      <c r="J26" s="8">
        <f>AVERAGE(J3:J22)</f>
        <v>9.7249999999999996</v>
      </c>
      <c r="N26" t="str">
        <f t="shared" ref="N26:N27" si="11">"[" &amp; O26 &amp; "," &amp; P26 &amp; ")"</f>
        <v>[110,120)</v>
      </c>
      <c r="O26">
        <v>110</v>
      </c>
      <c r="P26">
        <f t="shared" si="7"/>
        <v>120</v>
      </c>
      <c r="Q26">
        <f t="shared" si="8"/>
        <v>7</v>
      </c>
      <c r="S26" t="str">
        <f t="shared" ref="S26:S27" si="12">"[" &amp; T26 &amp; "," &amp; U26 &amp; ")"</f>
        <v>[30,40)</v>
      </c>
      <c r="T26">
        <v>30</v>
      </c>
      <c r="U26">
        <f t="shared" si="9"/>
        <v>40</v>
      </c>
      <c r="V26">
        <f t="shared" si="10"/>
        <v>5</v>
      </c>
    </row>
    <row r="27" spans="1:22" x14ac:dyDescent="0.35">
      <c r="A27" s="1" t="s">
        <v>14</v>
      </c>
      <c r="E27" s="8">
        <f>MIN(E$3:E$22)</f>
        <v>105.5</v>
      </c>
      <c r="F27" s="8">
        <f>MIN(F$3:F$22)</f>
        <v>59.5</v>
      </c>
      <c r="H27" s="8">
        <f>_xlfn.STDEV.S(H3:H22)</f>
        <v>10.745225377862143</v>
      </c>
      <c r="I27" s="8">
        <f t="shared" ref="I27:J27" si="13">_xlfn.STDEV.S(I3:I22)</f>
        <v>7.5776680206762119</v>
      </c>
      <c r="J27" s="8">
        <f t="shared" si="13"/>
        <v>11.66356788420566</v>
      </c>
      <c r="N27" t="str">
        <f t="shared" si="11"/>
        <v>[120,130)</v>
      </c>
      <c r="O27">
        <v>120</v>
      </c>
      <c r="P27">
        <f t="shared" si="7"/>
        <v>130</v>
      </c>
      <c r="Q27">
        <f t="shared" si="8"/>
        <v>5</v>
      </c>
      <c r="S27" t="str">
        <f t="shared" si="12"/>
        <v>[40,50)</v>
      </c>
      <c r="T27">
        <v>40</v>
      </c>
      <c r="U27">
        <f t="shared" si="9"/>
        <v>50</v>
      </c>
      <c r="V27">
        <f t="shared" si="10"/>
        <v>2</v>
      </c>
    </row>
    <row r="28" spans="1:22" x14ac:dyDescent="0.35">
      <c r="N28" t="str">
        <f>"[" &amp; O28 &amp; "," &amp; P28 &amp; "]"</f>
        <v>[130,140]</v>
      </c>
      <c r="O28">
        <v>130</v>
      </c>
      <c r="P28">
        <v>140</v>
      </c>
      <c r="Q28">
        <f t="shared" si="8"/>
        <v>2</v>
      </c>
      <c r="S28" t="str">
        <f>"[" &amp; T28 &amp; "," &amp; U28 &amp; "]"</f>
        <v>[50,60]</v>
      </c>
      <c r="T28">
        <v>50</v>
      </c>
      <c r="U28">
        <v>60</v>
      </c>
      <c r="V28">
        <f t="shared" si="10"/>
        <v>2</v>
      </c>
    </row>
    <row r="29" spans="1:22" x14ac:dyDescent="0.35">
      <c r="O29">
        <v>200</v>
      </c>
    </row>
    <row r="32" spans="1:22" x14ac:dyDescent="0.35">
      <c r="Q32" t="s">
        <v>7</v>
      </c>
    </row>
    <row r="33" spans="14:17" x14ac:dyDescent="0.35">
      <c r="O33">
        <v>40</v>
      </c>
      <c r="P33">
        <v>50</v>
      </c>
      <c r="Q33">
        <f>COUNTIFS($F$3:$F$22,"&gt;=" &amp; O33,$F$3:$F$22,"&lt;" &amp; P33)</f>
        <v>0</v>
      </c>
    </row>
    <row r="34" spans="14:17" x14ac:dyDescent="0.35">
      <c r="N34" t="str">
        <f>"[" &amp; O34 &amp; "," &amp; P34 &amp; ")"</f>
        <v>[50,60)</v>
      </c>
      <c r="O34">
        <f>P33</f>
        <v>50</v>
      </c>
      <c r="P34">
        <v>60</v>
      </c>
      <c r="Q34">
        <f t="shared" ref="Q34:Q37" si="14">COUNTIFS($F$3:$F$22,"&gt;=" &amp; O34,$F$3:$F$22,"&lt;" &amp; P34)</f>
        <v>2</v>
      </c>
    </row>
    <row r="35" spans="14:17" x14ac:dyDescent="0.35">
      <c r="N35" t="str">
        <f t="shared" ref="N35:N36" si="15">"[" &amp; O35 &amp; "," &amp; P35 &amp; ")"</f>
        <v>[60,70)</v>
      </c>
      <c r="O35">
        <f t="shared" ref="O35:O37" si="16">P34</f>
        <v>60</v>
      </c>
      <c r="P35">
        <v>70</v>
      </c>
      <c r="Q35">
        <f t="shared" si="14"/>
        <v>4</v>
      </c>
    </row>
    <row r="36" spans="14:17" x14ac:dyDescent="0.35">
      <c r="N36" t="str">
        <f t="shared" si="15"/>
        <v>[70,80)</v>
      </c>
      <c r="O36">
        <f t="shared" si="16"/>
        <v>70</v>
      </c>
      <c r="P36">
        <v>80</v>
      </c>
      <c r="Q36">
        <f t="shared" si="14"/>
        <v>9</v>
      </c>
    </row>
    <row r="37" spans="14:17" x14ac:dyDescent="0.35">
      <c r="N37" t="str">
        <f>"[" &amp; O37 &amp; "," &amp; P37 &amp; "]"</f>
        <v>[80,90]</v>
      </c>
      <c r="O37">
        <f t="shared" si="16"/>
        <v>80</v>
      </c>
      <c r="P37">
        <v>90</v>
      </c>
      <c r="Q37">
        <f t="shared" si="14"/>
        <v>5</v>
      </c>
    </row>
  </sheetData>
  <mergeCells count="7">
    <mergeCell ref="R16:R17"/>
    <mergeCell ref="A1:A2"/>
    <mergeCell ref="B1:D1"/>
    <mergeCell ref="E1:G1"/>
    <mergeCell ref="R5:R6"/>
    <mergeCell ref="R8:R9"/>
    <mergeCell ref="R13:R14"/>
  </mergeCells>
  <conditionalFormatting sqref="L1:M1 O1 B1:J2">
    <cfRule type="containsErrors" dxfId="5" priority="7">
      <formula>ISERROR(B1)</formula>
    </cfRule>
    <cfRule type="expression" dxfId="4" priority="8">
      <formula>ISBLANK(B1)</formula>
    </cfRule>
  </conditionalFormatting>
  <conditionalFormatting sqref="B3:B1048576 E3:E1048576 F26:F27">
    <cfRule type="notContainsBlanks" dxfId="3" priority="5">
      <formula>LEN(TRIM(B3))&gt;0</formula>
    </cfRule>
  </conditionalFormatting>
  <conditionalFormatting sqref="C36:C38">
    <cfRule type="notContainsBlanks" dxfId="2" priority="2">
      <formula>LEN(TRIM(C36))&gt;0</formula>
    </cfRule>
  </conditionalFormatting>
  <conditionalFormatting sqref="D3:D30 G3:G1048576 D36:D1048576">
    <cfRule type="notContainsBlanks" dxfId="1" priority="3">
      <formula>LEN(TRIM(D3))&gt;0</formula>
    </cfRule>
  </conditionalFormatting>
  <conditionalFormatting sqref="F3:F25 C3:C30 F28:F1048576 C39:C1048576">
    <cfRule type="notContainsBlanks" dxfId="0" priority="4">
      <formula>LEN(TRIM(C3))&gt;0</formula>
    </cfRule>
  </conditionalFormatting>
  <conditionalFormatting sqref="H3:J21">
    <cfRule type="colorScale" priority="6">
      <colorScale>
        <cfvo type="num" val="0"/>
        <cfvo type="num" val="12"/>
        <cfvo type="num" val="50"/>
        <color rgb="FF63BE7B"/>
        <color rgb="FFFFEB84"/>
        <color rgb="FFF8696B"/>
      </colorScale>
    </cfRule>
  </conditionalFormatting>
  <conditionalFormatting sqref="H22:J22">
    <cfRule type="colorScale" priority="1">
      <colorScale>
        <cfvo type="num" val="0"/>
        <cfvo type="num" val="12"/>
        <cfvo type="num" val="5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Resultados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Sanchez</dc:creator>
  <cp:lastModifiedBy>JORGE FRANCISCO GARCIA SAMARTIN</cp:lastModifiedBy>
  <cp:lastPrinted>2025-05-16T17:06:21Z</cp:lastPrinted>
  <dcterms:created xsi:type="dcterms:W3CDTF">2015-06-05T18:17:20Z</dcterms:created>
  <dcterms:modified xsi:type="dcterms:W3CDTF">2026-02-06T13:08:18Z</dcterms:modified>
</cp:coreProperties>
</file>