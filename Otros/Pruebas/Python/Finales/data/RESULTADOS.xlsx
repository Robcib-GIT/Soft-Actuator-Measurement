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sans\Documents\UPM\TFM\Soft-Actuator-Measurement\Otros\Pruebas\Python\Finales\data\"/>
    </mc:Choice>
  </mc:AlternateContent>
  <xr:revisionPtr revIDLastSave="0" documentId="13_ncr:1_{AA3BF3ED-29A2-4C5E-A605-0178355BD7A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loodPressure_v1" sheetId="1" r:id="rId1"/>
    <sheet name="BloodPressure_v2" sheetId="2" r:id="rId2"/>
  </sheets>
  <calcPr calcId="181029"/>
</workbook>
</file>

<file path=xl/calcChain.xml><?xml version="1.0" encoding="utf-8"?>
<calcChain xmlns="http://schemas.openxmlformats.org/spreadsheetml/2006/main">
  <c r="J4" i="1" l="1"/>
  <c r="K4" i="1"/>
  <c r="L4" i="1"/>
  <c r="M4" i="1"/>
  <c r="N4" i="1"/>
  <c r="O4" i="1"/>
  <c r="J5" i="1"/>
  <c r="K5" i="1"/>
  <c r="L5" i="1"/>
  <c r="M5" i="1"/>
  <c r="N5" i="1"/>
  <c r="O5" i="1"/>
  <c r="J6" i="1"/>
  <c r="K6" i="1"/>
  <c r="L6" i="1"/>
  <c r="M6" i="1"/>
  <c r="N6" i="1"/>
  <c r="O6" i="1"/>
  <c r="J7" i="1"/>
  <c r="K7" i="1"/>
  <c r="L7" i="1"/>
  <c r="M7" i="1"/>
  <c r="N7" i="1"/>
  <c r="O7" i="1"/>
  <c r="J8" i="1"/>
  <c r="K8" i="1"/>
  <c r="L8" i="1"/>
  <c r="M8" i="1"/>
  <c r="N8" i="1"/>
  <c r="O8" i="1"/>
  <c r="J9" i="1"/>
  <c r="K9" i="1"/>
  <c r="L9" i="1"/>
  <c r="M9" i="1"/>
  <c r="N9" i="1"/>
  <c r="O9" i="1"/>
  <c r="J10" i="1"/>
  <c r="K10" i="1"/>
  <c r="L10" i="1"/>
  <c r="M10" i="1"/>
  <c r="N10" i="1"/>
  <c r="O10" i="1"/>
  <c r="J11" i="1"/>
  <c r="K11" i="1"/>
  <c r="L11" i="1"/>
  <c r="M11" i="1"/>
  <c r="N11" i="1"/>
  <c r="O11" i="1"/>
  <c r="J12" i="1"/>
  <c r="K12" i="1"/>
  <c r="L12" i="1"/>
  <c r="M12" i="1"/>
  <c r="N12" i="1"/>
  <c r="O12" i="1"/>
  <c r="J13" i="1"/>
  <c r="K13" i="1"/>
  <c r="L13" i="1"/>
  <c r="M13" i="1"/>
  <c r="N13" i="1"/>
  <c r="O13" i="1"/>
  <c r="J14" i="1"/>
  <c r="K14" i="1"/>
  <c r="L14" i="1"/>
  <c r="M14" i="1"/>
  <c r="N14" i="1"/>
  <c r="O14" i="1" s="1"/>
  <c r="J15" i="1"/>
  <c r="K15" i="1" s="1"/>
  <c r="L15" i="1"/>
  <c r="M15" i="1"/>
  <c r="N15" i="1"/>
  <c r="O15" i="1"/>
  <c r="J16" i="1"/>
  <c r="K16" i="1" s="1"/>
  <c r="L16" i="1"/>
  <c r="M16" i="1"/>
  <c r="N16" i="1"/>
  <c r="O16" i="1"/>
  <c r="J17" i="1"/>
  <c r="K17" i="1"/>
  <c r="L17" i="1"/>
  <c r="M17" i="1" s="1"/>
  <c r="N17" i="1"/>
  <c r="O17" i="1"/>
  <c r="J18" i="1"/>
  <c r="K18" i="1"/>
  <c r="L18" i="1"/>
  <c r="M18" i="1"/>
  <c r="N18" i="1"/>
  <c r="O18" i="1" s="1"/>
  <c r="J19" i="1"/>
  <c r="K19" i="1"/>
  <c r="L19" i="1"/>
  <c r="M19" i="1"/>
  <c r="N19" i="1"/>
  <c r="O19" i="1"/>
  <c r="J20" i="1"/>
  <c r="K20" i="1" s="1"/>
  <c r="L20" i="1"/>
  <c r="M20" i="1"/>
  <c r="N20" i="1"/>
  <c r="O20" i="1"/>
  <c r="J21" i="1"/>
  <c r="K21" i="1"/>
  <c r="L21" i="1"/>
  <c r="M21" i="1" s="1"/>
  <c r="N21" i="1"/>
  <c r="O21" i="1"/>
  <c r="J22" i="1"/>
  <c r="K22" i="1"/>
  <c r="L22" i="1"/>
  <c r="M22" i="1"/>
  <c r="N22" i="1"/>
  <c r="O22" i="1" s="1"/>
  <c r="J23" i="1"/>
  <c r="K23" i="1"/>
  <c r="L23" i="1"/>
  <c r="M23" i="1"/>
  <c r="N23" i="1"/>
  <c r="O23" i="1"/>
  <c r="J24" i="1"/>
  <c r="K24" i="1" s="1"/>
  <c r="L24" i="1"/>
  <c r="M24" i="1"/>
  <c r="N24" i="1"/>
  <c r="O24" i="1"/>
  <c r="J25" i="1"/>
  <c r="K25" i="1"/>
  <c r="L25" i="1"/>
  <c r="M25" i="1" s="1"/>
  <c r="N25" i="1"/>
  <c r="O25" i="1"/>
  <c r="J26" i="1"/>
  <c r="K26" i="1"/>
  <c r="L26" i="1"/>
  <c r="M26" i="1"/>
  <c r="N26" i="1"/>
  <c r="O26" i="1" s="1"/>
  <c r="J27" i="1"/>
  <c r="K27" i="1" s="1"/>
  <c r="L27" i="1"/>
  <c r="M27" i="1"/>
  <c r="N27" i="1"/>
  <c r="O27" i="1"/>
  <c r="J28" i="1"/>
  <c r="K28" i="1" s="1"/>
  <c r="L28" i="1"/>
  <c r="M28" i="1" s="1"/>
  <c r="N28" i="1"/>
  <c r="O28" i="1"/>
  <c r="J29" i="1"/>
  <c r="K29" i="1"/>
  <c r="L29" i="1"/>
  <c r="M29" i="1" s="1"/>
  <c r="N29" i="1"/>
  <c r="O29" i="1" s="1"/>
  <c r="J30" i="1"/>
  <c r="K30" i="1"/>
  <c r="L30" i="1"/>
  <c r="M30" i="1"/>
  <c r="N30" i="1"/>
  <c r="O30" i="1" s="1"/>
  <c r="J31" i="1"/>
  <c r="K31" i="1" s="1"/>
  <c r="L31" i="1"/>
  <c r="M31" i="1"/>
  <c r="N31" i="1"/>
  <c r="O31" i="1"/>
  <c r="O3" i="1"/>
  <c r="M3" i="1"/>
  <c r="K3" i="1"/>
  <c r="N3" i="1"/>
  <c r="L3" i="1"/>
  <c r="J3" i="1"/>
  <c r="G3" i="1"/>
  <c r="F31" i="1"/>
  <c r="E31" i="1"/>
  <c r="D31" i="1"/>
  <c r="F30" i="1"/>
  <c r="E30" i="1"/>
  <c r="D30" i="1"/>
  <c r="F13" i="1"/>
  <c r="E13" i="1"/>
  <c r="D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4" i="1"/>
  <c r="H4" i="1"/>
  <c r="G4" i="1"/>
  <c r="F4" i="1"/>
  <c r="E4" i="1"/>
  <c r="D4" i="1"/>
  <c r="I3" i="1"/>
  <c r="H3" i="1"/>
</calcChain>
</file>

<file path=xl/sharedStrings.xml><?xml version="1.0" encoding="utf-8"?>
<sst xmlns="http://schemas.openxmlformats.org/spreadsheetml/2006/main" count="60" uniqueCount="17">
  <si>
    <t>#</t>
  </si>
  <si>
    <t>SUJETO</t>
  </si>
  <si>
    <t>VERSIÓN</t>
  </si>
  <si>
    <t>SAM</t>
  </si>
  <si>
    <t>REAL</t>
  </si>
  <si>
    <t>SYS</t>
  </si>
  <si>
    <t>DIA</t>
  </si>
  <si>
    <t>PPM</t>
  </si>
  <si>
    <t>Andres</t>
  </si>
  <si>
    <t>Maez</t>
  </si>
  <si>
    <t>Pruebas</t>
  </si>
  <si>
    <t>Nº</t>
  </si>
  <si>
    <t>∆ SYS</t>
  </si>
  <si>
    <t>∆ DIA</t>
  </si>
  <si>
    <t>∆ PPM</t>
  </si>
  <si>
    <t>mmHg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</si>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</sst>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 vertical="center"/>
    </xf>
    <xf numFmtId="164" fontId="2" fillId="0" borderId="0" xfId="1" applyNumberFormat="1"/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1"/>
  <sheetViews>
    <sheetView tabSelected="1" topLeftCell="A5" workbookViewId="0">
      <selection activeCell="R11" sqref="R11"/>
    </sheetView>
  </sheetViews>
  <sheetFormatPr baseColWidth="10" defaultColWidth="8.88671875" defaultRowHeight="14.4" x14ac:dyDescent="0.3"/>
  <cols>
    <col min="1" max="1" width="8.88671875" style="7" customWidth="1"/>
    <col min="2" max="9" width="8.88671875" style="1" customWidth="1"/>
    <col min="10" max="10" width="8.88671875" style="1"/>
    <col min="11" max="11" width="8.88671875" style="6"/>
    <col min="12" max="12" width="11.33203125" style="1" bestFit="1" customWidth="1"/>
    <col min="13" max="13" width="11.33203125" style="6" customWidth="1"/>
    <col min="14" max="14" width="8.88671875" style="1"/>
    <col min="15" max="15" width="8.88671875" style="6"/>
  </cols>
  <sheetData>
    <row r="1" spans="1:15" x14ac:dyDescent="0.3">
      <c r="A1" s="4" t="s">
        <v>0</v>
      </c>
      <c r="B1" s="4" t="s">
        <v>1</v>
      </c>
      <c r="C1" s="4" t="s">
        <v>2</v>
      </c>
      <c r="D1" s="4" t="s">
        <v>3</v>
      </c>
      <c r="E1" s="5"/>
      <c r="F1" s="5"/>
      <c r="G1" s="4" t="s">
        <v>4</v>
      </c>
      <c r="H1" s="5"/>
      <c r="I1" s="5"/>
      <c r="J1" s="4" t="s">
        <v>12</v>
      </c>
      <c r="K1" s="4"/>
      <c r="L1" s="4" t="s">
        <v>13</v>
      </c>
      <c r="M1" s="4"/>
      <c r="N1" s="4" t="s">
        <v>14</v>
      </c>
      <c r="O1" s="4"/>
    </row>
    <row r="2" spans="1:15" x14ac:dyDescent="0.3">
      <c r="A2" s="5"/>
      <c r="B2" s="5"/>
      <c r="C2" s="5"/>
      <c r="D2" s="2" t="s">
        <v>5</v>
      </c>
      <c r="E2" s="2" t="s">
        <v>6</v>
      </c>
      <c r="F2" s="2" t="s">
        <v>7</v>
      </c>
      <c r="G2" s="2" t="s">
        <v>5</v>
      </c>
      <c r="H2" s="2" t="s">
        <v>6</v>
      </c>
      <c r="I2" s="2" t="s">
        <v>7</v>
      </c>
      <c r="J2" s="2" t="s">
        <v>15</v>
      </c>
      <c r="K2" s="2" t="s">
        <v>16</v>
      </c>
      <c r="L2" s="2" t="s">
        <v>15</v>
      </c>
      <c r="M2" s="2" t="s">
        <v>16</v>
      </c>
      <c r="N2" s="2" t="s">
        <v>15</v>
      </c>
      <c r="O2" s="2" t="s">
        <v>16</v>
      </c>
    </row>
    <row r="3" spans="1:15" x14ac:dyDescent="0.3">
      <c r="A3" s="7">
        <v>0</v>
      </c>
      <c r="B3" t="s">
        <v>8</v>
      </c>
      <c r="C3">
        <v>1</v>
      </c>
      <c r="D3">
        <v>104</v>
      </c>
      <c r="E3">
        <v>86</v>
      </c>
      <c r="F3">
        <v>100</v>
      </c>
      <c r="G3" t="e">
        <f>NA()</f>
        <v>#N/A</v>
      </c>
      <c r="H3" t="e">
        <f>NA()</f>
        <v>#N/A</v>
      </c>
      <c r="I3" t="e">
        <f>NA()</f>
        <v>#N/A</v>
      </c>
      <c r="J3" s="1" t="e">
        <f>ABS(G3-D3)</f>
        <v>#N/A</v>
      </c>
      <c r="K3" s="6" t="e">
        <f>J3/G3</f>
        <v>#N/A</v>
      </c>
      <c r="L3" s="1" t="e">
        <f>ABS(H3-E3)</f>
        <v>#N/A</v>
      </c>
      <c r="M3" s="6" t="e">
        <f>L3/H3</f>
        <v>#N/A</v>
      </c>
      <c r="N3" s="1" t="e">
        <f>ABS(I3-F3)</f>
        <v>#N/A</v>
      </c>
      <c r="O3" s="6" t="e">
        <f>N3/I3</f>
        <v>#N/A</v>
      </c>
    </row>
    <row r="4" spans="1:15" x14ac:dyDescent="0.3">
      <c r="A4" s="7">
        <v>1</v>
      </c>
      <c r="B4" t="s">
        <v>8</v>
      </c>
      <c r="C4">
        <v>2</v>
      </c>
      <c r="D4" t="e">
        <f>NA()</f>
        <v>#N/A</v>
      </c>
      <c r="E4" t="e">
        <f>NA()</f>
        <v>#N/A</v>
      </c>
      <c r="F4" t="e">
        <f>NA()</f>
        <v>#N/A</v>
      </c>
      <c r="G4" t="e">
        <f>NA()</f>
        <v>#N/A</v>
      </c>
      <c r="H4" t="e">
        <f>NA()</f>
        <v>#N/A</v>
      </c>
      <c r="I4" t="e">
        <f>NA()</f>
        <v>#N/A</v>
      </c>
      <c r="J4" s="1" t="e">
        <f t="shared" ref="J4:J31" si="0">ABS(G4-D4)</f>
        <v>#N/A</v>
      </c>
      <c r="K4" s="6" t="e">
        <f t="shared" ref="K4:K31" si="1">J4/G4</f>
        <v>#N/A</v>
      </c>
      <c r="L4" s="1" t="e">
        <f t="shared" ref="L4:L31" si="2">ABS(H4-E4)</f>
        <v>#N/A</v>
      </c>
      <c r="M4" s="6" t="e">
        <f t="shared" ref="M4:M31" si="3">L4/H4</f>
        <v>#N/A</v>
      </c>
      <c r="N4" s="1" t="e">
        <f t="shared" ref="N4:N31" si="4">ABS(I4-F4)</f>
        <v>#N/A</v>
      </c>
      <c r="O4" s="6" t="e">
        <f t="shared" ref="O4:O31" si="5">N4/I4</f>
        <v>#N/A</v>
      </c>
    </row>
    <row r="5" spans="1:15" x14ac:dyDescent="0.3">
      <c r="A5" s="7">
        <v>2</v>
      </c>
      <c r="B5" t="s">
        <v>8</v>
      </c>
      <c r="C5">
        <v>3</v>
      </c>
      <c r="D5">
        <v>107</v>
      </c>
      <c r="E5">
        <v>107</v>
      </c>
      <c r="F5">
        <v>100</v>
      </c>
      <c r="G5" t="e">
        <f>NA()</f>
        <v>#N/A</v>
      </c>
      <c r="H5" t="e">
        <f>NA()</f>
        <v>#N/A</v>
      </c>
      <c r="I5" t="e">
        <f>NA()</f>
        <v>#N/A</v>
      </c>
      <c r="J5" s="1" t="e">
        <f t="shared" si="0"/>
        <v>#N/A</v>
      </c>
      <c r="K5" s="6" t="e">
        <f t="shared" si="1"/>
        <v>#N/A</v>
      </c>
      <c r="L5" s="1" t="e">
        <f t="shared" si="2"/>
        <v>#N/A</v>
      </c>
      <c r="M5" s="6" t="e">
        <f t="shared" si="3"/>
        <v>#N/A</v>
      </c>
      <c r="N5" s="1" t="e">
        <f t="shared" si="4"/>
        <v>#N/A</v>
      </c>
      <c r="O5" s="6" t="e">
        <f t="shared" si="5"/>
        <v>#N/A</v>
      </c>
    </row>
    <row r="6" spans="1:15" x14ac:dyDescent="0.3">
      <c r="A6" s="7">
        <v>3</v>
      </c>
      <c r="B6" t="s">
        <v>8</v>
      </c>
      <c r="C6">
        <v>4</v>
      </c>
      <c r="D6">
        <v>101</v>
      </c>
      <c r="E6">
        <v>101</v>
      </c>
      <c r="F6">
        <v>100</v>
      </c>
      <c r="G6" t="e">
        <f>NA()</f>
        <v>#N/A</v>
      </c>
      <c r="H6" t="e">
        <f>NA()</f>
        <v>#N/A</v>
      </c>
      <c r="I6" t="e">
        <f>NA()</f>
        <v>#N/A</v>
      </c>
      <c r="J6" s="1" t="e">
        <f t="shared" si="0"/>
        <v>#N/A</v>
      </c>
      <c r="K6" s="6" t="e">
        <f t="shared" si="1"/>
        <v>#N/A</v>
      </c>
      <c r="L6" s="1" t="e">
        <f t="shared" si="2"/>
        <v>#N/A</v>
      </c>
      <c r="M6" s="6" t="e">
        <f t="shared" si="3"/>
        <v>#N/A</v>
      </c>
      <c r="N6" s="1" t="e">
        <f t="shared" si="4"/>
        <v>#N/A</v>
      </c>
      <c r="O6" s="6" t="e">
        <f t="shared" si="5"/>
        <v>#N/A</v>
      </c>
    </row>
    <row r="7" spans="1:15" x14ac:dyDescent="0.3">
      <c r="A7" s="7">
        <v>4</v>
      </c>
      <c r="B7" t="s">
        <v>8</v>
      </c>
      <c r="C7">
        <v>5</v>
      </c>
      <c r="D7">
        <v>87</v>
      </c>
      <c r="E7">
        <v>87</v>
      </c>
      <c r="F7">
        <v>70</v>
      </c>
      <c r="G7" t="e">
        <f>NA()</f>
        <v>#N/A</v>
      </c>
      <c r="H7" t="e">
        <f>NA()</f>
        <v>#N/A</v>
      </c>
      <c r="I7" t="e">
        <f>NA()</f>
        <v>#N/A</v>
      </c>
      <c r="J7" s="1" t="e">
        <f t="shared" si="0"/>
        <v>#N/A</v>
      </c>
      <c r="K7" s="6" t="e">
        <f t="shared" si="1"/>
        <v>#N/A</v>
      </c>
      <c r="L7" s="1" t="e">
        <f t="shared" si="2"/>
        <v>#N/A</v>
      </c>
      <c r="M7" s="6" t="e">
        <f t="shared" si="3"/>
        <v>#N/A</v>
      </c>
      <c r="N7" s="1" t="e">
        <f t="shared" si="4"/>
        <v>#N/A</v>
      </c>
      <c r="O7" s="6" t="e">
        <f t="shared" si="5"/>
        <v>#N/A</v>
      </c>
    </row>
    <row r="8" spans="1:15" x14ac:dyDescent="0.3">
      <c r="A8" s="7">
        <v>5</v>
      </c>
      <c r="B8" t="s">
        <v>8</v>
      </c>
      <c r="C8">
        <v>6</v>
      </c>
      <c r="D8">
        <v>95</v>
      </c>
      <c r="E8">
        <v>95</v>
      </c>
      <c r="F8">
        <v>80</v>
      </c>
      <c r="G8" t="e">
        <f>NA()</f>
        <v>#N/A</v>
      </c>
      <c r="H8" t="e">
        <f>NA()</f>
        <v>#N/A</v>
      </c>
      <c r="I8" t="e">
        <f>NA()</f>
        <v>#N/A</v>
      </c>
      <c r="J8" s="1" t="e">
        <f t="shared" si="0"/>
        <v>#N/A</v>
      </c>
      <c r="K8" s="6" t="e">
        <f t="shared" si="1"/>
        <v>#N/A</v>
      </c>
      <c r="L8" s="1" t="e">
        <f t="shared" si="2"/>
        <v>#N/A</v>
      </c>
      <c r="M8" s="6" t="e">
        <f t="shared" si="3"/>
        <v>#N/A</v>
      </c>
      <c r="N8" s="1" t="e">
        <f t="shared" si="4"/>
        <v>#N/A</v>
      </c>
      <c r="O8" s="6" t="e">
        <f t="shared" si="5"/>
        <v>#N/A</v>
      </c>
    </row>
    <row r="9" spans="1:15" x14ac:dyDescent="0.3">
      <c r="A9" s="7">
        <v>6</v>
      </c>
      <c r="B9" t="s">
        <v>8</v>
      </c>
      <c r="C9">
        <v>7</v>
      </c>
      <c r="D9">
        <v>84</v>
      </c>
      <c r="E9">
        <v>84</v>
      </c>
      <c r="F9">
        <v>75</v>
      </c>
      <c r="G9" t="e">
        <f>NA()</f>
        <v>#N/A</v>
      </c>
      <c r="H9" t="e">
        <f>NA()</f>
        <v>#N/A</v>
      </c>
      <c r="I9" t="e">
        <f>NA()</f>
        <v>#N/A</v>
      </c>
      <c r="J9" s="1" t="e">
        <f t="shared" si="0"/>
        <v>#N/A</v>
      </c>
      <c r="K9" s="6" t="e">
        <f t="shared" si="1"/>
        <v>#N/A</v>
      </c>
      <c r="L9" s="1" t="e">
        <f t="shared" si="2"/>
        <v>#N/A</v>
      </c>
      <c r="M9" s="6" t="e">
        <f t="shared" si="3"/>
        <v>#N/A</v>
      </c>
      <c r="N9" s="1" t="e">
        <f t="shared" si="4"/>
        <v>#N/A</v>
      </c>
      <c r="O9" s="6" t="e">
        <f t="shared" si="5"/>
        <v>#N/A</v>
      </c>
    </row>
    <row r="10" spans="1:15" x14ac:dyDescent="0.3">
      <c r="A10" s="7">
        <v>7</v>
      </c>
      <c r="B10" t="s">
        <v>8</v>
      </c>
      <c r="C10">
        <v>8</v>
      </c>
      <c r="D10">
        <v>74</v>
      </c>
      <c r="E10">
        <v>74</v>
      </c>
      <c r="F10">
        <v>80</v>
      </c>
      <c r="G10" t="e">
        <f>NA()</f>
        <v>#N/A</v>
      </c>
      <c r="H10" t="e">
        <f>NA()</f>
        <v>#N/A</v>
      </c>
      <c r="I10" t="e">
        <f>NA()</f>
        <v>#N/A</v>
      </c>
      <c r="J10" s="1" t="e">
        <f t="shared" si="0"/>
        <v>#N/A</v>
      </c>
      <c r="K10" s="6" t="e">
        <f t="shared" si="1"/>
        <v>#N/A</v>
      </c>
      <c r="L10" s="1" t="e">
        <f t="shared" si="2"/>
        <v>#N/A</v>
      </c>
      <c r="M10" s="6" t="e">
        <f t="shared" si="3"/>
        <v>#N/A</v>
      </c>
      <c r="N10" s="1" t="e">
        <f t="shared" si="4"/>
        <v>#N/A</v>
      </c>
      <c r="O10" s="6" t="e">
        <f t="shared" si="5"/>
        <v>#N/A</v>
      </c>
    </row>
    <row r="11" spans="1:15" x14ac:dyDescent="0.3">
      <c r="A11" s="7">
        <v>8</v>
      </c>
      <c r="B11" t="s">
        <v>8</v>
      </c>
      <c r="C11">
        <v>9</v>
      </c>
      <c r="D11">
        <v>80</v>
      </c>
      <c r="E11">
        <v>80</v>
      </c>
      <c r="F11">
        <v>80</v>
      </c>
      <c r="G11" t="e">
        <f>NA()</f>
        <v>#N/A</v>
      </c>
      <c r="H11" t="e">
        <f>NA()</f>
        <v>#N/A</v>
      </c>
      <c r="I11" t="e">
        <f>NA()</f>
        <v>#N/A</v>
      </c>
      <c r="J11" s="1" t="e">
        <f t="shared" si="0"/>
        <v>#N/A</v>
      </c>
      <c r="K11" s="6" t="e">
        <f t="shared" si="1"/>
        <v>#N/A</v>
      </c>
      <c r="L11" s="1" t="e">
        <f t="shared" si="2"/>
        <v>#N/A</v>
      </c>
      <c r="M11" s="6" t="e">
        <f t="shared" si="3"/>
        <v>#N/A</v>
      </c>
      <c r="N11" s="1" t="e">
        <f t="shared" si="4"/>
        <v>#N/A</v>
      </c>
      <c r="O11" s="6" t="e">
        <f t="shared" si="5"/>
        <v>#N/A</v>
      </c>
    </row>
    <row r="12" spans="1:15" x14ac:dyDescent="0.3">
      <c r="A12" s="7">
        <v>9</v>
      </c>
      <c r="B12" t="s">
        <v>8</v>
      </c>
      <c r="C12">
        <v>10</v>
      </c>
      <c r="D12">
        <v>94</v>
      </c>
      <c r="E12">
        <v>94</v>
      </c>
      <c r="F12">
        <v>80</v>
      </c>
      <c r="G12" t="e">
        <f>NA()</f>
        <v>#N/A</v>
      </c>
      <c r="H12" t="e">
        <f>NA()</f>
        <v>#N/A</v>
      </c>
      <c r="I12" t="e">
        <f>NA()</f>
        <v>#N/A</v>
      </c>
      <c r="J12" s="1" t="e">
        <f t="shared" si="0"/>
        <v>#N/A</v>
      </c>
      <c r="K12" s="6" t="e">
        <f t="shared" si="1"/>
        <v>#N/A</v>
      </c>
      <c r="L12" s="1" t="e">
        <f t="shared" si="2"/>
        <v>#N/A</v>
      </c>
      <c r="M12" s="6" t="e">
        <f t="shared" si="3"/>
        <v>#N/A</v>
      </c>
      <c r="N12" s="1" t="e">
        <f t="shared" si="4"/>
        <v>#N/A</v>
      </c>
      <c r="O12" s="6" t="e">
        <f t="shared" si="5"/>
        <v>#N/A</v>
      </c>
    </row>
    <row r="13" spans="1:15" x14ac:dyDescent="0.3">
      <c r="A13" s="7">
        <v>10</v>
      </c>
      <c r="B13" t="s">
        <v>8</v>
      </c>
      <c r="C13">
        <v>11</v>
      </c>
      <c r="D13" t="e">
        <f>NA()</f>
        <v>#N/A</v>
      </c>
      <c r="E13" t="e">
        <f>NA()</f>
        <v>#N/A</v>
      </c>
      <c r="F13" t="e">
        <f>NA()</f>
        <v>#N/A</v>
      </c>
      <c r="G13">
        <v>126</v>
      </c>
      <c r="H13">
        <v>85</v>
      </c>
      <c r="I13">
        <v>71</v>
      </c>
      <c r="J13" s="1" t="e">
        <f t="shared" si="0"/>
        <v>#N/A</v>
      </c>
      <c r="K13" s="6" t="e">
        <f t="shared" si="1"/>
        <v>#N/A</v>
      </c>
      <c r="L13" s="1" t="e">
        <f t="shared" si="2"/>
        <v>#N/A</v>
      </c>
      <c r="M13" s="6" t="e">
        <f t="shared" si="3"/>
        <v>#N/A</v>
      </c>
      <c r="N13" s="1" t="e">
        <f t="shared" si="4"/>
        <v>#N/A</v>
      </c>
      <c r="O13" s="6" t="e">
        <f t="shared" si="5"/>
        <v>#N/A</v>
      </c>
    </row>
    <row r="14" spans="1:15" x14ac:dyDescent="0.3">
      <c r="A14" s="7">
        <v>11</v>
      </c>
      <c r="B14" t="s">
        <v>8</v>
      </c>
      <c r="C14">
        <v>12</v>
      </c>
      <c r="D14">
        <v>148</v>
      </c>
      <c r="E14">
        <v>73</v>
      </c>
      <c r="F14">
        <v>69</v>
      </c>
      <c r="G14">
        <v>120</v>
      </c>
      <c r="H14">
        <v>74</v>
      </c>
      <c r="I14">
        <v>66</v>
      </c>
      <c r="J14" s="1">
        <f t="shared" si="0"/>
        <v>28</v>
      </c>
      <c r="K14" s="6">
        <f t="shared" si="1"/>
        <v>0.23333333333333334</v>
      </c>
      <c r="L14" s="1">
        <f t="shared" si="2"/>
        <v>1</v>
      </c>
      <c r="M14" s="6">
        <f t="shared" si="3"/>
        <v>1.3513513513513514E-2</v>
      </c>
      <c r="N14" s="1">
        <f t="shared" si="4"/>
        <v>3</v>
      </c>
      <c r="O14" s="6">
        <f t="shared" si="5"/>
        <v>4.5454545454545456E-2</v>
      </c>
    </row>
    <row r="15" spans="1:15" x14ac:dyDescent="0.3">
      <c r="A15" s="7">
        <v>12</v>
      </c>
      <c r="B15" t="s">
        <v>8</v>
      </c>
      <c r="C15">
        <v>13</v>
      </c>
      <c r="D15">
        <v>130</v>
      </c>
      <c r="E15">
        <v>71</v>
      </c>
      <c r="F15">
        <v>76</v>
      </c>
      <c r="G15">
        <v>135</v>
      </c>
      <c r="H15">
        <v>69</v>
      </c>
      <c r="I15">
        <v>66</v>
      </c>
      <c r="J15" s="1">
        <f t="shared" si="0"/>
        <v>5</v>
      </c>
      <c r="K15" s="6">
        <f t="shared" si="1"/>
        <v>3.7037037037037035E-2</v>
      </c>
      <c r="L15" s="1">
        <f t="shared" si="2"/>
        <v>2</v>
      </c>
      <c r="M15" s="6">
        <f t="shared" si="3"/>
        <v>2.8985507246376812E-2</v>
      </c>
      <c r="N15" s="1">
        <f t="shared" si="4"/>
        <v>10</v>
      </c>
      <c r="O15" s="6">
        <f t="shared" si="5"/>
        <v>0.15151515151515152</v>
      </c>
    </row>
    <row r="16" spans="1:15" x14ac:dyDescent="0.3">
      <c r="A16" s="7">
        <v>13</v>
      </c>
      <c r="B16" t="s">
        <v>8</v>
      </c>
      <c r="C16">
        <v>14</v>
      </c>
      <c r="D16">
        <v>139</v>
      </c>
      <c r="E16">
        <v>78</v>
      </c>
      <c r="F16">
        <v>63</v>
      </c>
      <c r="G16">
        <v>117</v>
      </c>
      <c r="H16">
        <v>70</v>
      </c>
      <c r="I16">
        <v>67</v>
      </c>
      <c r="J16" s="1">
        <f t="shared" si="0"/>
        <v>22</v>
      </c>
      <c r="K16" s="6">
        <f t="shared" si="1"/>
        <v>0.18803418803418803</v>
      </c>
      <c r="L16" s="1">
        <f t="shared" si="2"/>
        <v>8</v>
      </c>
      <c r="M16" s="6">
        <f t="shared" si="3"/>
        <v>0.11428571428571428</v>
      </c>
      <c r="N16" s="1">
        <f t="shared" si="4"/>
        <v>4</v>
      </c>
      <c r="O16" s="6">
        <f t="shared" si="5"/>
        <v>5.9701492537313432E-2</v>
      </c>
    </row>
    <row r="17" spans="1:17" x14ac:dyDescent="0.3">
      <c r="A17" s="7">
        <v>14</v>
      </c>
      <c r="B17" t="s">
        <v>8</v>
      </c>
      <c r="C17">
        <v>15</v>
      </c>
      <c r="D17">
        <v>140</v>
      </c>
      <c r="E17">
        <v>72</v>
      </c>
      <c r="F17">
        <v>69</v>
      </c>
      <c r="G17">
        <v>123</v>
      </c>
      <c r="H17">
        <v>74</v>
      </c>
      <c r="I17">
        <v>70</v>
      </c>
      <c r="J17" s="1">
        <f t="shared" si="0"/>
        <v>17</v>
      </c>
      <c r="K17" s="6">
        <f t="shared" si="1"/>
        <v>0.13821138211382114</v>
      </c>
      <c r="L17" s="1">
        <f t="shared" si="2"/>
        <v>2</v>
      </c>
      <c r="M17" s="6">
        <f t="shared" si="3"/>
        <v>2.7027027027027029E-2</v>
      </c>
      <c r="N17" s="1">
        <f t="shared" si="4"/>
        <v>1</v>
      </c>
      <c r="O17" s="6">
        <f t="shared" si="5"/>
        <v>1.4285714285714285E-2</v>
      </c>
    </row>
    <row r="18" spans="1:17" x14ac:dyDescent="0.3">
      <c r="A18" s="7">
        <v>15</v>
      </c>
      <c r="B18" t="s">
        <v>8</v>
      </c>
      <c r="C18">
        <v>16</v>
      </c>
      <c r="D18">
        <v>150</v>
      </c>
      <c r="E18">
        <v>92</v>
      </c>
      <c r="F18">
        <v>69</v>
      </c>
      <c r="G18">
        <v>134</v>
      </c>
      <c r="H18">
        <v>78</v>
      </c>
      <c r="I18">
        <v>70</v>
      </c>
      <c r="J18" s="1">
        <f t="shared" si="0"/>
        <v>16</v>
      </c>
      <c r="K18" s="6">
        <f t="shared" si="1"/>
        <v>0.11940298507462686</v>
      </c>
      <c r="L18" s="1">
        <f t="shared" si="2"/>
        <v>14</v>
      </c>
      <c r="M18" s="6">
        <f t="shared" si="3"/>
        <v>0.17948717948717949</v>
      </c>
      <c r="N18" s="1">
        <f t="shared" si="4"/>
        <v>1</v>
      </c>
      <c r="O18" s="6">
        <f t="shared" si="5"/>
        <v>1.4285714285714285E-2</v>
      </c>
    </row>
    <row r="19" spans="1:17" x14ac:dyDescent="0.3">
      <c r="A19" s="7">
        <v>16</v>
      </c>
      <c r="B19" t="s">
        <v>8</v>
      </c>
      <c r="C19">
        <v>17</v>
      </c>
      <c r="D19">
        <v>145</v>
      </c>
      <c r="E19">
        <v>87</v>
      </c>
      <c r="F19">
        <v>63</v>
      </c>
      <c r="G19">
        <v>136</v>
      </c>
      <c r="H19">
        <v>79</v>
      </c>
      <c r="I19">
        <v>69</v>
      </c>
      <c r="J19" s="1">
        <f t="shared" si="0"/>
        <v>9</v>
      </c>
      <c r="K19" s="6">
        <f t="shared" si="1"/>
        <v>6.6176470588235295E-2</v>
      </c>
      <c r="L19" s="1">
        <f t="shared" si="2"/>
        <v>8</v>
      </c>
      <c r="M19" s="6">
        <f t="shared" si="3"/>
        <v>0.10126582278481013</v>
      </c>
      <c r="N19" s="1">
        <f t="shared" si="4"/>
        <v>6</v>
      </c>
      <c r="O19" s="6">
        <f t="shared" si="5"/>
        <v>8.6956521739130432E-2</v>
      </c>
    </row>
    <row r="20" spans="1:17" x14ac:dyDescent="0.3">
      <c r="A20" s="7">
        <v>17</v>
      </c>
      <c r="B20" t="s">
        <v>8</v>
      </c>
      <c r="C20">
        <v>18</v>
      </c>
      <c r="D20">
        <v>150</v>
      </c>
      <c r="E20">
        <v>82</v>
      </c>
      <c r="F20">
        <v>92</v>
      </c>
      <c r="G20">
        <v>135</v>
      </c>
      <c r="H20">
        <v>81</v>
      </c>
      <c r="I20">
        <v>79</v>
      </c>
      <c r="J20" s="1">
        <f t="shared" si="0"/>
        <v>15</v>
      </c>
      <c r="K20" s="6">
        <f t="shared" si="1"/>
        <v>0.1111111111111111</v>
      </c>
      <c r="L20" s="1">
        <f t="shared" si="2"/>
        <v>1</v>
      </c>
      <c r="M20" s="6">
        <f t="shared" si="3"/>
        <v>1.2345679012345678E-2</v>
      </c>
      <c r="N20" s="1">
        <f t="shared" si="4"/>
        <v>13</v>
      </c>
      <c r="O20" s="6">
        <f t="shared" si="5"/>
        <v>0.16455696202531644</v>
      </c>
    </row>
    <row r="21" spans="1:17" x14ac:dyDescent="0.3">
      <c r="A21" s="7">
        <v>18</v>
      </c>
      <c r="B21" t="s">
        <v>8</v>
      </c>
      <c r="C21">
        <v>19</v>
      </c>
      <c r="D21">
        <v>137</v>
      </c>
      <c r="E21">
        <v>89</v>
      </c>
      <c r="F21">
        <v>75</v>
      </c>
      <c r="G21">
        <v>144</v>
      </c>
      <c r="H21">
        <v>86</v>
      </c>
      <c r="I21">
        <v>78</v>
      </c>
      <c r="J21" s="1">
        <f t="shared" si="0"/>
        <v>7</v>
      </c>
      <c r="K21" s="6">
        <f t="shared" si="1"/>
        <v>4.8611111111111112E-2</v>
      </c>
      <c r="L21" s="1">
        <f t="shared" si="2"/>
        <v>3</v>
      </c>
      <c r="M21" s="6">
        <f t="shared" si="3"/>
        <v>3.4883720930232558E-2</v>
      </c>
      <c r="N21" s="1">
        <f t="shared" si="4"/>
        <v>3</v>
      </c>
      <c r="O21" s="6">
        <f t="shared" si="5"/>
        <v>3.8461538461538464E-2</v>
      </c>
    </row>
    <row r="22" spans="1:17" x14ac:dyDescent="0.3">
      <c r="A22" s="7">
        <v>19</v>
      </c>
      <c r="B22" t="s">
        <v>8</v>
      </c>
      <c r="C22">
        <v>20</v>
      </c>
      <c r="D22">
        <v>122</v>
      </c>
      <c r="E22">
        <v>91</v>
      </c>
      <c r="F22">
        <v>85</v>
      </c>
      <c r="G22">
        <v>131</v>
      </c>
      <c r="H22">
        <v>77</v>
      </c>
      <c r="I22">
        <v>72</v>
      </c>
      <c r="J22" s="1">
        <f t="shared" si="0"/>
        <v>9</v>
      </c>
      <c r="K22" s="6">
        <f t="shared" si="1"/>
        <v>6.8702290076335881E-2</v>
      </c>
      <c r="L22" s="1">
        <f t="shared" si="2"/>
        <v>14</v>
      </c>
      <c r="M22" s="6">
        <f t="shared" si="3"/>
        <v>0.18181818181818182</v>
      </c>
      <c r="N22" s="1">
        <f t="shared" si="4"/>
        <v>13</v>
      </c>
      <c r="O22" s="6">
        <f t="shared" si="5"/>
        <v>0.18055555555555555</v>
      </c>
    </row>
    <row r="23" spans="1:17" x14ac:dyDescent="0.3">
      <c r="A23" s="7">
        <v>20</v>
      </c>
      <c r="B23" t="s">
        <v>8</v>
      </c>
      <c r="C23">
        <v>21</v>
      </c>
      <c r="D23">
        <v>140</v>
      </c>
      <c r="E23">
        <v>86</v>
      </c>
      <c r="F23">
        <v>75</v>
      </c>
      <c r="G23">
        <v>130</v>
      </c>
      <c r="H23">
        <v>85</v>
      </c>
      <c r="I23">
        <v>67</v>
      </c>
      <c r="J23" s="1">
        <f t="shared" si="0"/>
        <v>10</v>
      </c>
      <c r="K23" s="6">
        <f t="shared" si="1"/>
        <v>7.6923076923076927E-2</v>
      </c>
      <c r="L23" s="1">
        <f t="shared" si="2"/>
        <v>1</v>
      </c>
      <c r="M23" s="6">
        <f t="shared" si="3"/>
        <v>1.1764705882352941E-2</v>
      </c>
      <c r="N23" s="1">
        <f t="shared" si="4"/>
        <v>8</v>
      </c>
      <c r="O23" s="6">
        <f t="shared" si="5"/>
        <v>0.11940298507462686</v>
      </c>
      <c r="Q23" s="3"/>
    </row>
    <row r="24" spans="1:17" x14ac:dyDescent="0.3">
      <c r="A24" s="7">
        <v>21</v>
      </c>
      <c r="B24" t="s">
        <v>8</v>
      </c>
      <c r="C24">
        <v>22</v>
      </c>
      <c r="D24">
        <v>149</v>
      </c>
      <c r="E24">
        <v>84</v>
      </c>
      <c r="F24">
        <v>85</v>
      </c>
      <c r="G24">
        <v>131</v>
      </c>
      <c r="H24">
        <v>86</v>
      </c>
      <c r="I24">
        <v>68</v>
      </c>
      <c r="J24" s="1">
        <f t="shared" si="0"/>
        <v>18</v>
      </c>
      <c r="K24" s="6">
        <f t="shared" si="1"/>
        <v>0.13740458015267176</v>
      </c>
      <c r="L24" s="1">
        <f t="shared" si="2"/>
        <v>2</v>
      </c>
      <c r="M24" s="6">
        <f t="shared" si="3"/>
        <v>2.3255813953488372E-2</v>
      </c>
      <c r="N24" s="1">
        <f t="shared" si="4"/>
        <v>17</v>
      </c>
      <c r="O24" s="6">
        <f t="shared" si="5"/>
        <v>0.25</v>
      </c>
    </row>
    <row r="25" spans="1:17" x14ac:dyDescent="0.3">
      <c r="A25" s="7">
        <v>22</v>
      </c>
      <c r="B25" t="s">
        <v>8</v>
      </c>
      <c r="C25">
        <v>23</v>
      </c>
      <c r="D25">
        <v>152</v>
      </c>
      <c r="E25">
        <v>120</v>
      </c>
      <c r="F25">
        <v>90</v>
      </c>
      <c r="G25">
        <v>127</v>
      </c>
      <c r="H25">
        <v>82</v>
      </c>
      <c r="I25">
        <v>61</v>
      </c>
      <c r="J25" s="1">
        <f t="shared" si="0"/>
        <v>25</v>
      </c>
      <c r="K25" s="6">
        <f t="shared" si="1"/>
        <v>0.19685039370078741</v>
      </c>
      <c r="L25" s="1">
        <f t="shared" si="2"/>
        <v>38</v>
      </c>
      <c r="M25" s="6">
        <f t="shared" si="3"/>
        <v>0.46341463414634149</v>
      </c>
      <c r="N25" s="1">
        <f t="shared" si="4"/>
        <v>29</v>
      </c>
      <c r="O25" s="6">
        <f t="shared" si="5"/>
        <v>0.47540983606557374</v>
      </c>
    </row>
    <row r="26" spans="1:17" x14ac:dyDescent="0.3">
      <c r="A26" s="7">
        <v>23</v>
      </c>
      <c r="B26" t="s">
        <v>8</v>
      </c>
      <c r="C26">
        <v>24</v>
      </c>
      <c r="D26">
        <v>149</v>
      </c>
      <c r="E26">
        <v>97</v>
      </c>
      <c r="F26">
        <v>81</v>
      </c>
      <c r="G26">
        <v>132</v>
      </c>
      <c r="H26">
        <v>80</v>
      </c>
      <c r="I26">
        <v>57</v>
      </c>
      <c r="J26" s="1">
        <f t="shared" si="0"/>
        <v>17</v>
      </c>
      <c r="K26" s="6">
        <f t="shared" si="1"/>
        <v>0.12878787878787878</v>
      </c>
      <c r="L26" s="1">
        <f t="shared" si="2"/>
        <v>17</v>
      </c>
      <c r="M26" s="6">
        <f t="shared" si="3"/>
        <v>0.21249999999999999</v>
      </c>
      <c r="N26" s="1">
        <f t="shared" si="4"/>
        <v>24</v>
      </c>
      <c r="O26" s="6">
        <f t="shared" si="5"/>
        <v>0.42105263157894735</v>
      </c>
    </row>
    <row r="27" spans="1:17" x14ac:dyDescent="0.3">
      <c r="A27" s="7">
        <v>24</v>
      </c>
      <c r="B27" t="s">
        <v>8</v>
      </c>
      <c r="C27">
        <v>25</v>
      </c>
      <c r="D27">
        <v>144</v>
      </c>
      <c r="E27">
        <v>100</v>
      </c>
      <c r="F27">
        <v>84</v>
      </c>
      <c r="G27">
        <v>129</v>
      </c>
      <c r="H27">
        <v>80</v>
      </c>
      <c r="I27">
        <v>64</v>
      </c>
      <c r="J27" s="1">
        <f t="shared" si="0"/>
        <v>15</v>
      </c>
      <c r="K27" s="6">
        <f t="shared" si="1"/>
        <v>0.11627906976744186</v>
      </c>
      <c r="L27" s="1">
        <f t="shared" si="2"/>
        <v>20</v>
      </c>
      <c r="M27" s="6">
        <f t="shared" si="3"/>
        <v>0.25</v>
      </c>
      <c r="N27" s="1">
        <f t="shared" si="4"/>
        <v>20</v>
      </c>
      <c r="O27" s="6">
        <f t="shared" si="5"/>
        <v>0.3125</v>
      </c>
    </row>
    <row r="28" spans="1:17" x14ac:dyDescent="0.3">
      <c r="A28" s="7">
        <v>25</v>
      </c>
      <c r="B28" t="s">
        <v>9</v>
      </c>
      <c r="C28">
        <v>1</v>
      </c>
      <c r="D28">
        <v>80</v>
      </c>
      <c r="E28">
        <v>44</v>
      </c>
      <c r="F28">
        <v>52</v>
      </c>
      <c r="G28">
        <v>116</v>
      </c>
      <c r="H28">
        <v>65</v>
      </c>
      <c r="I28">
        <v>54</v>
      </c>
      <c r="J28" s="1">
        <f t="shared" si="0"/>
        <v>36</v>
      </c>
      <c r="K28" s="6">
        <f t="shared" si="1"/>
        <v>0.31034482758620691</v>
      </c>
      <c r="L28" s="1">
        <f t="shared" si="2"/>
        <v>21</v>
      </c>
      <c r="M28" s="6">
        <f t="shared" si="3"/>
        <v>0.32307692307692309</v>
      </c>
      <c r="N28" s="1">
        <f t="shared" si="4"/>
        <v>2</v>
      </c>
      <c r="O28" s="6">
        <f t="shared" si="5"/>
        <v>3.7037037037037035E-2</v>
      </c>
    </row>
    <row r="29" spans="1:17" x14ac:dyDescent="0.3">
      <c r="A29" s="7">
        <v>26</v>
      </c>
      <c r="B29" t="s">
        <v>9</v>
      </c>
      <c r="C29">
        <v>2</v>
      </c>
      <c r="D29">
        <v>146</v>
      </c>
      <c r="E29">
        <v>77</v>
      </c>
      <c r="F29">
        <v>54</v>
      </c>
      <c r="G29">
        <v>124</v>
      </c>
      <c r="H29">
        <v>62</v>
      </c>
      <c r="I29">
        <v>51</v>
      </c>
      <c r="J29" s="1">
        <f t="shared" si="0"/>
        <v>22</v>
      </c>
      <c r="K29" s="6">
        <f t="shared" si="1"/>
        <v>0.17741935483870969</v>
      </c>
      <c r="L29" s="1">
        <f t="shared" si="2"/>
        <v>15</v>
      </c>
      <c r="M29" s="6">
        <f t="shared" si="3"/>
        <v>0.24193548387096775</v>
      </c>
      <c r="N29" s="1">
        <f t="shared" si="4"/>
        <v>3</v>
      </c>
      <c r="O29" s="6">
        <f t="shared" si="5"/>
        <v>5.8823529411764705E-2</v>
      </c>
    </row>
    <row r="30" spans="1:17" x14ac:dyDescent="0.3">
      <c r="A30" s="7">
        <v>27</v>
      </c>
      <c r="B30" t="s">
        <v>10</v>
      </c>
      <c r="C30">
        <v>1</v>
      </c>
      <c r="D30" t="e">
        <f>NA()</f>
        <v>#N/A</v>
      </c>
      <c r="E30" t="e">
        <f>NA()</f>
        <v>#N/A</v>
      </c>
      <c r="F30" t="e">
        <f>NA()</f>
        <v>#N/A</v>
      </c>
      <c r="G30">
        <v>128</v>
      </c>
      <c r="H30">
        <v>81</v>
      </c>
      <c r="I30">
        <v>60</v>
      </c>
      <c r="J30" s="1" t="e">
        <f t="shared" si="0"/>
        <v>#N/A</v>
      </c>
      <c r="K30" s="6" t="e">
        <f t="shared" si="1"/>
        <v>#N/A</v>
      </c>
      <c r="L30" s="1" t="e">
        <f t="shared" si="2"/>
        <v>#N/A</v>
      </c>
      <c r="M30" s="6" t="e">
        <f t="shared" si="3"/>
        <v>#N/A</v>
      </c>
      <c r="N30" s="1" t="e">
        <f t="shared" si="4"/>
        <v>#N/A</v>
      </c>
      <c r="O30" s="6" t="e">
        <f t="shared" si="5"/>
        <v>#N/A</v>
      </c>
    </row>
    <row r="31" spans="1:17" x14ac:dyDescent="0.3">
      <c r="A31" s="7">
        <v>28</v>
      </c>
      <c r="B31" t="s">
        <v>10</v>
      </c>
      <c r="C31">
        <v>2</v>
      </c>
      <c r="D31" t="e">
        <f>NA()</f>
        <v>#N/A</v>
      </c>
      <c r="E31" t="e">
        <f>NA()</f>
        <v>#N/A</v>
      </c>
      <c r="F31" t="e">
        <f>NA()</f>
        <v>#N/A</v>
      </c>
      <c r="G31">
        <v>126</v>
      </c>
      <c r="H31">
        <v>85</v>
      </c>
      <c r="I31">
        <v>71</v>
      </c>
      <c r="J31" s="1" t="e">
        <f t="shared" si="0"/>
        <v>#N/A</v>
      </c>
      <c r="K31" s="6" t="e">
        <f t="shared" si="1"/>
        <v>#N/A</v>
      </c>
      <c r="L31" s="1" t="e">
        <f t="shared" si="2"/>
        <v>#N/A</v>
      </c>
      <c r="M31" s="6" t="e">
        <f t="shared" si="3"/>
        <v>#N/A</v>
      </c>
      <c r="N31" s="1" t="e">
        <f t="shared" si="4"/>
        <v>#N/A</v>
      </c>
      <c r="O31" s="6" t="e">
        <f t="shared" si="5"/>
        <v>#N/A</v>
      </c>
    </row>
  </sheetData>
  <mergeCells count="8">
    <mergeCell ref="N1:O1"/>
    <mergeCell ref="J1:K1"/>
    <mergeCell ref="L1:M1"/>
    <mergeCell ref="C1:C2"/>
    <mergeCell ref="B1:B2"/>
    <mergeCell ref="D1:F1"/>
    <mergeCell ref="G1:I1"/>
    <mergeCell ref="A1:A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"/>
  <sheetViews>
    <sheetView workbookViewId="0">
      <selection activeCell="F4" sqref="F4"/>
    </sheetView>
  </sheetViews>
  <sheetFormatPr baseColWidth="10" defaultColWidth="8.88671875" defaultRowHeight="14.4" x14ac:dyDescent="0.3"/>
  <cols>
    <col min="1" max="9" width="8.88671875" style="1" customWidth="1"/>
  </cols>
  <sheetData>
    <row r="1" spans="1:9" x14ac:dyDescent="0.3">
      <c r="A1" s="4" t="s">
        <v>0</v>
      </c>
      <c r="B1" s="4" t="s">
        <v>1</v>
      </c>
      <c r="C1" s="4" t="s">
        <v>11</v>
      </c>
      <c r="D1" s="4" t="s">
        <v>3</v>
      </c>
      <c r="E1" s="5"/>
      <c r="F1" s="5"/>
      <c r="G1" s="4" t="s">
        <v>4</v>
      </c>
      <c r="H1" s="5"/>
      <c r="I1" s="5"/>
    </row>
    <row r="2" spans="1:9" x14ac:dyDescent="0.3">
      <c r="A2" s="5"/>
      <c r="B2" s="5"/>
      <c r="C2" s="5"/>
      <c r="D2" s="2" t="s">
        <v>5</v>
      </c>
      <c r="E2" s="2" t="s">
        <v>6</v>
      </c>
      <c r="F2" s="2" t="s">
        <v>7</v>
      </c>
      <c r="G2" s="2" t="s">
        <v>5</v>
      </c>
      <c r="H2" s="2" t="s">
        <v>6</v>
      </c>
      <c r="I2" s="2" t="s">
        <v>7</v>
      </c>
    </row>
  </sheetData>
  <mergeCells count="5">
    <mergeCell ref="C1:C2"/>
    <mergeCell ref="B1:B2"/>
    <mergeCell ref="D1:F1"/>
    <mergeCell ref="G1:I1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BloodPressure_v1</vt:lpstr>
      <vt:lpstr>BloodPressure_v2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Sanchez</dc:creator>
  <cp:lastModifiedBy>ANDRES SANCHEZ SILVA</cp:lastModifiedBy>
  <dcterms:created xsi:type="dcterms:W3CDTF">2015-06-05T18:17:20Z</dcterms:created>
  <dcterms:modified xsi:type="dcterms:W3CDTF">2025-05-16T12:45:46Z</dcterms:modified>
</cp:coreProperties>
</file>