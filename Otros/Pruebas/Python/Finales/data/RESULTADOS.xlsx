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loodPressure_v1" sheetId="1" state="visible" r:id="rId1"/>
    <sheet name="BloodPressure_v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2" fillId="0" borderId="0"/>
    <xf numFmtId="43" fontId="2" fillId="0" borderId="0"/>
    <xf numFmtId="9" fontId="2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6" borderId="8" applyAlignment="1" pivotButton="0" quotePrefix="0" xfId="0">
      <alignment horizontal="center" vertical="center"/>
    </xf>
    <xf numFmtId="0" fontId="1" fillId="7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6" borderId="7" applyAlignment="1" pivotButton="0" quotePrefix="0" xfId="0">
      <alignment horizontal="center" vertical="center"/>
    </xf>
    <xf numFmtId="10" fontId="2" fillId="0" borderId="2" applyAlignment="1" pivotButton="0" quotePrefix="0" xfId="2">
      <alignment horizontal="center" vertical="center"/>
    </xf>
    <xf numFmtId="10" fontId="2" fillId="0" borderId="3" applyAlignment="1" pivotButton="0" quotePrefix="0" xfId="2">
      <alignment horizontal="center" vertical="center"/>
    </xf>
    <xf numFmtId="2" fontId="0" fillId="4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9" fontId="0" fillId="0" borderId="0" applyAlignment="1" pivotButton="0" quotePrefix="0" xfId="2">
      <alignment horizontal="center" vertical="center"/>
    </xf>
    <xf numFmtId="9" fontId="3" fillId="0" borderId="0" applyAlignment="1" pivotButton="0" quotePrefix="0" xfId="2">
      <alignment horizontal="center" vertical="center"/>
    </xf>
    <xf numFmtId="164" fontId="2" fillId="0" borderId="10" applyAlignment="1" pivotButton="0" quotePrefix="0" xfId="1">
      <alignment horizontal="center" vertical="center"/>
    </xf>
    <xf numFmtId="0" fontId="0" fillId="0" borderId="10" applyAlignment="1" pivotButton="0" quotePrefix="0" xfId="0">
      <alignment horizontal="center" vertical="center"/>
    </xf>
    <xf numFmtId="9" fontId="0" fillId="0" borderId="10" applyAlignment="1" pivotButton="0" quotePrefix="0" xfId="2">
      <alignment horizontal="center" vertical="center"/>
    </xf>
    <xf numFmtId="164" fontId="2" fillId="0" borderId="4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9" fontId="0" fillId="0" borderId="4" applyAlignment="1" pivotButton="0" quotePrefix="0" xfId="2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" pivotButton="0" quotePrefix="0" xfId="0"/>
    <xf numFmtId="0" fontId="1" fillId="0" borderId="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0" fontId="0" fillId="0" borderId="14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15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3">
    <cellStyle name="Normal" xfId="0" builtinId="0"/>
    <cellStyle name="Millares" xfId="1" builtinId="3"/>
    <cellStyle name="Porcentaje" xfId="2" builtinId="5"/>
  </cellStyles>
  <dxfs count="5">
    <dxf>
      <fill>
        <patternFill>
          <bgColor theme="7" tint="0.5999633777886288"/>
        </patternFill>
      </fill>
    </dxf>
    <dxf>
      <fill>
        <patternFill>
          <fgColor theme="1"/>
          <bgColor theme="8" tint="0.7999816888943144"/>
        </patternFill>
      </fill>
      <border>
        <left/>
        <right/>
        <top/>
        <bottom/>
        <vertical/>
        <horizontal/>
      </border>
    </dxf>
    <dxf>
      <font>
        <strike val="0"/>
      </font>
      <fill>
        <patternFill>
          <bgColor theme="9" tint="0.5999633777886288"/>
        </patternFill>
      </fill>
      <border>
        <left style="thin">
          <color auto="1"/>
        </left>
        <right/>
        <top/>
        <bottom/>
        <vertical/>
        <horizontal/>
      </border>
    </dxf>
    <dxf>
      <fill>
        <patternFill>
          <fgColor indexed="64"/>
          <bgColor auto="1"/>
        </patternFill>
      </fill>
      <border>
        <left/>
        <right/>
        <top/>
        <bottom/>
      </border>
    </dxf>
    <dxf>
      <fill>
        <patternFill patternType="darkUp">
          <fgColor rgb="FFFF0000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tabSelected="1" workbookViewId="0">
      <selection activeCell="H20" sqref="H20"/>
    </sheetView>
  </sheetViews>
  <sheetFormatPr baseColWidth="10" defaultColWidth="8.88671875" defaultRowHeight="14.4"/>
  <cols>
    <col width="8.88671875" customWidth="1" style="20" min="1" max="1"/>
    <col width="8.88671875" customWidth="1" style="21" min="2" max="10"/>
    <col width="8.88671875" customWidth="1" style="22" min="11" max="11"/>
    <col width="11.33203125" bestFit="1" customWidth="1" style="21" min="12" max="12"/>
    <col width="11.33203125" customWidth="1" style="22" min="13" max="13"/>
    <col width="8.88671875" customWidth="1" style="21" min="14" max="14"/>
    <col width="8.88671875" customWidth="1" style="22" min="15" max="15"/>
  </cols>
  <sheetData>
    <row r="1" ht="15" customHeight="1" thickBot="1">
      <c r="A1" s="31" t="inlineStr">
        <is>
          <t>#</t>
        </is>
      </c>
      <c r="B1" s="27" t="inlineStr">
        <is>
          <t>SUJETO</t>
        </is>
      </c>
      <c r="C1" s="27" t="inlineStr">
        <is>
          <t>VERSIÓN</t>
        </is>
      </c>
      <c r="D1" s="27" t="inlineStr">
        <is>
          <t>SAM</t>
        </is>
      </c>
      <c r="E1" s="30" t="n"/>
      <c r="F1" s="28" t="n"/>
      <c r="G1" s="27" t="inlineStr">
        <is>
          <t>REAL</t>
        </is>
      </c>
      <c r="H1" s="30" t="n"/>
      <c r="I1" s="28" t="n"/>
      <c r="J1" s="27" t="inlineStr">
        <is>
          <t>∆ SYS</t>
        </is>
      </c>
      <c r="K1" s="28" t="n"/>
      <c r="L1" s="27" t="inlineStr">
        <is>
          <t>∆ DIA</t>
        </is>
      </c>
      <c r="M1" s="28" t="n"/>
      <c r="N1" s="27" t="inlineStr">
        <is>
          <t>∆ PPM</t>
        </is>
      </c>
      <c r="O1" s="28" t="n"/>
      <c r="Q1" s="24" t="inlineStr">
        <is>
          <t>TOTAL</t>
        </is>
      </c>
      <c r="R1" s="31" t="inlineStr">
        <is>
          <t>∆ SYS</t>
        </is>
      </c>
      <c r="S1" s="28" t="n"/>
      <c r="T1" s="27" t="inlineStr">
        <is>
          <t>∆ DIA</t>
        </is>
      </c>
      <c r="U1" s="28" t="n"/>
      <c r="V1" s="27" t="inlineStr">
        <is>
          <t>∆ PPM</t>
        </is>
      </c>
      <c r="W1" s="28" t="n"/>
    </row>
    <row r="2" ht="15" customHeight="1" thickBot="1">
      <c r="A2" s="32" t="n"/>
      <c r="B2" s="29" t="n"/>
      <c r="C2" s="29" t="n"/>
      <c r="D2" s="4" t="inlineStr">
        <is>
          <t>SYS</t>
        </is>
      </c>
      <c r="E2" s="5" t="inlineStr">
        <is>
          <t>DIA</t>
        </is>
      </c>
      <c r="F2" s="6" t="inlineStr">
        <is>
          <t>PPM</t>
        </is>
      </c>
      <c r="G2" s="4" t="inlineStr">
        <is>
          <t>SYS</t>
        </is>
      </c>
      <c r="H2" s="5" t="inlineStr">
        <is>
          <t>DIA</t>
        </is>
      </c>
      <c r="I2" s="6" t="inlineStr">
        <is>
          <t>PPM</t>
        </is>
      </c>
      <c r="J2" s="4" t="inlineStr">
        <is>
          <t>mmHg</t>
        </is>
      </c>
      <c r="K2" s="4" t="inlineStr">
        <is>
          <t>%</t>
        </is>
      </c>
      <c r="L2" s="5" t="inlineStr">
        <is>
          <t>mmHg</t>
        </is>
      </c>
      <c r="M2" s="5" t="inlineStr">
        <is>
          <t>%</t>
        </is>
      </c>
      <c r="N2" s="6" t="inlineStr">
        <is>
          <t>PPM</t>
        </is>
      </c>
      <c r="O2" s="7" t="inlineStr">
        <is>
          <t>%</t>
        </is>
      </c>
      <c r="Q2" s="25" t="n"/>
      <c r="R2" s="8" t="inlineStr">
        <is>
          <t>mmHg</t>
        </is>
      </c>
      <c r="S2" s="4" t="inlineStr">
        <is>
          <t>%</t>
        </is>
      </c>
      <c r="T2" s="5" t="inlineStr">
        <is>
          <t>mmHg</t>
        </is>
      </c>
      <c r="U2" s="5" t="inlineStr">
        <is>
          <t>%</t>
        </is>
      </c>
      <c r="V2" s="6" t="inlineStr">
        <is>
          <t>PPM</t>
        </is>
      </c>
      <c r="W2" s="7" t="inlineStr">
        <is>
          <t>%</t>
        </is>
      </c>
    </row>
    <row r="3" ht="15" customHeight="1" thickBot="1">
      <c r="A3" s="14" t="n">
        <v>0</v>
      </c>
      <c r="B3" s="34" t="inlineStr">
        <is>
          <t>Andres</t>
        </is>
      </c>
      <c r="C3" s="34" t="n">
        <v>1</v>
      </c>
      <c r="D3" s="34" t="n">
        <v>104</v>
      </c>
      <c r="E3" s="34" t="n">
        <v>86</v>
      </c>
      <c r="F3" s="34" t="n">
        <v>102</v>
      </c>
      <c r="G3" s="34">
        <f>NA()</f>
        <v/>
      </c>
      <c r="H3" s="34">
        <f>NA()</f>
        <v/>
      </c>
      <c r="I3" s="34">
        <f>NA()</f>
        <v/>
      </c>
      <c r="J3" s="34">
        <f>IF(NOT(ISBLANK($A3)), ABS(G3-D3), "")</f>
        <v/>
      </c>
      <c r="K3" s="15">
        <f>J3/G3</f>
        <v/>
      </c>
      <c r="L3" s="34">
        <f>ABS(H3-E3)</f>
        <v/>
      </c>
      <c r="M3" s="15">
        <f>L3/H3</f>
        <v/>
      </c>
      <c r="N3" s="34">
        <f>ABS(I3-F3)</f>
        <v/>
      </c>
      <c r="O3" s="15">
        <f>N3/I3</f>
        <v/>
      </c>
      <c r="Q3" s="26" t="n"/>
      <c r="R3" s="11">
        <f>_xlfn.AGGREGATE(1,6,J3:J1048576)</f>
        <v/>
      </c>
      <c r="S3" s="9">
        <f>_xlfn.AGGREGATE(1,6,K3:K1048576)</f>
        <v/>
      </c>
      <c r="T3" s="12">
        <f>_xlfn.AGGREGATE(1,6,L3:L1048576)</f>
        <v/>
      </c>
      <c r="U3" s="9">
        <f>_xlfn.AGGREGATE(1,6,M3:M1048576)</f>
        <v/>
      </c>
      <c r="V3" s="13">
        <f>_xlfn.AGGREGATE(1,6,N3:N1048576)</f>
        <v/>
      </c>
      <c r="W3" s="10">
        <f>_xlfn.AGGREGATE(1,6,O3:O1048576)</f>
        <v/>
      </c>
    </row>
    <row r="4">
      <c r="A4" s="14" t="n">
        <v>1</v>
      </c>
      <c r="B4" s="34" t="inlineStr">
        <is>
          <t>Andres</t>
        </is>
      </c>
      <c r="C4" s="34" t="n">
        <v>2</v>
      </c>
      <c r="D4" s="34" t="n">
        <v>114</v>
      </c>
      <c r="E4" s="34" t="n">
        <v>86</v>
      </c>
      <c r="F4" s="34" t="n">
        <v>89</v>
      </c>
      <c r="G4" s="34">
        <f>NA()</f>
        <v/>
      </c>
      <c r="H4" s="34">
        <f>NA()</f>
        <v/>
      </c>
      <c r="I4" s="34">
        <f>NA()</f>
        <v/>
      </c>
      <c r="J4" s="34">
        <f>IF(NOT(ISBLANK($A4)), ABS(G4-D4), "")</f>
        <v/>
      </c>
      <c r="K4" s="15">
        <f>J4/G4</f>
        <v/>
      </c>
      <c r="L4" s="34">
        <f>ABS(H4-E4)</f>
        <v/>
      </c>
      <c r="M4" s="15">
        <f>L4/H4</f>
        <v/>
      </c>
      <c r="N4" s="34">
        <f>ABS(I4-F4)</f>
        <v/>
      </c>
      <c r="O4" s="15">
        <f>N4/I4</f>
        <v/>
      </c>
    </row>
    <row r="5">
      <c r="A5" s="14" t="n">
        <v>2</v>
      </c>
      <c r="B5" s="34" t="inlineStr">
        <is>
          <t>Andres</t>
        </is>
      </c>
      <c r="C5" s="34" t="n">
        <v>3</v>
      </c>
      <c r="D5" s="34" t="n">
        <v>123</v>
      </c>
      <c r="E5" s="34" t="n">
        <v>107</v>
      </c>
      <c r="F5" s="34" t="n">
        <v>98</v>
      </c>
      <c r="G5" s="34">
        <f>NA()</f>
        <v/>
      </c>
      <c r="H5" s="34">
        <f>NA()</f>
        <v/>
      </c>
      <c r="I5" s="34">
        <f>NA()</f>
        <v/>
      </c>
      <c r="J5" s="34">
        <f>IF(NOT(ISBLANK($A5)), ABS(G5-D5), "")</f>
        <v/>
      </c>
      <c r="K5" s="15">
        <f>J5/G5</f>
        <v/>
      </c>
      <c r="L5" s="34">
        <f>ABS(H5-E5)</f>
        <v/>
      </c>
      <c r="M5" s="15">
        <f>L5/H5</f>
        <v/>
      </c>
      <c r="N5" s="34">
        <f>ABS(I5-F5)</f>
        <v/>
      </c>
      <c r="O5" s="15">
        <f>N5/I5</f>
        <v/>
      </c>
    </row>
    <row r="6">
      <c r="A6" s="14" t="n">
        <v>3</v>
      </c>
      <c r="B6" s="34" t="inlineStr">
        <is>
          <t>Andres</t>
        </is>
      </c>
      <c r="C6" s="34" t="n">
        <v>4</v>
      </c>
      <c r="D6" s="34" t="n">
        <v>137</v>
      </c>
      <c r="E6" s="34" t="n">
        <v>101</v>
      </c>
      <c r="F6" s="34" t="n">
        <v>99</v>
      </c>
      <c r="G6" s="34">
        <f>NA()</f>
        <v/>
      </c>
      <c r="H6" s="34">
        <f>NA()</f>
        <v/>
      </c>
      <c r="I6" s="34">
        <f>NA()</f>
        <v/>
      </c>
      <c r="J6" s="34">
        <f>IF(NOT(ISBLANK($A6)), ABS(G6-D6), "")</f>
        <v/>
      </c>
      <c r="K6" s="15">
        <f>J6/G6</f>
        <v/>
      </c>
      <c r="L6" s="34">
        <f>ABS(H6-E6)</f>
        <v/>
      </c>
      <c r="M6" s="15">
        <f>L6/H6</f>
        <v/>
      </c>
      <c r="N6" s="34">
        <f>ABS(I6-F6)</f>
        <v/>
      </c>
      <c r="O6" s="15">
        <f>N6/I6</f>
        <v/>
      </c>
    </row>
    <row r="7">
      <c r="A7" s="14" t="n">
        <v>4</v>
      </c>
      <c r="B7" s="34" t="inlineStr">
        <is>
          <t>Andres</t>
        </is>
      </c>
      <c r="C7" s="34" t="n">
        <v>5</v>
      </c>
      <c r="D7" s="34" t="n">
        <v>110</v>
      </c>
      <c r="E7" s="34" t="n">
        <v>87</v>
      </c>
      <c r="F7" s="34" t="n">
        <v>71</v>
      </c>
      <c r="G7" s="34">
        <f>NA()</f>
        <v/>
      </c>
      <c r="H7" s="34">
        <f>NA()</f>
        <v/>
      </c>
      <c r="I7" s="34">
        <f>NA()</f>
        <v/>
      </c>
      <c r="J7" s="34">
        <f>IF(NOT(ISBLANK($A7)), ABS(G7-D7), "")</f>
        <v/>
      </c>
      <c r="K7" s="15">
        <f>J7/G7</f>
        <v/>
      </c>
      <c r="L7" s="34">
        <f>ABS(H7-E7)</f>
        <v/>
      </c>
      <c r="M7" s="15">
        <f>L7/H7</f>
        <v/>
      </c>
      <c r="N7" s="34">
        <f>ABS(I7-F7)</f>
        <v/>
      </c>
      <c r="O7" s="15">
        <f>N7/I7</f>
        <v/>
      </c>
    </row>
    <row r="8">
      <c r="A8" s="14" t="n">
        <v>5</v>
      </c>
      <c r="B8" s="34" t="inlineStr">
        <is>
          <t>Andres</t>
        </is>
      </c>
      <c r="C8" s="34" t="n">
        <v>6</v>
      </c>
      <c r="D8" s="34" t="n">
        <v>113</v>
      </c>
      <c r="E8" s="34" t="n">
        <v>95</v>
      </c>
      <c r="F8" s="34" t="n">
        <v>77</v>
      </c>
      <c r="G8" s="34">
        <f>NA()</f>
        <v/>
      </c>
      <c r="H8" s="34">
        <f>NA()</f>
        <v/>
      </c>
      <c r="I8" s="34">
        <f>NA()</f>
        <v/>
      </c>
      <c r="J8" s="34">
        <f>IF(NOT(ISBLANK($A8)), ABS(G8-D8), "")</f>
        <v/>
      </c>
      <c r="K8" s="15">
        <f>J8/G8</f>
        <v/>
      </c>
      <c r="L8" s="34">
        <f>ABS(H8-E8)</f>
        <v/>
      </c>
      <c r="M8" s="15">
        <f>L8/H8</f>
        <v/>
      </c>
      <c r="N8" s="34">
        <f>ABS(I8-F8)</f>
        <v/>
      </c>
      <c r="O8" s="15">
        <f>N8/I8</f>
        <v/>
      </c>
    </row>
    <row r="9">
      <c r="A9" s="14" t="n">
        <v>6</v>
      </c>
      <c r="B9" s="34" t="inlineStr">
        <is>
          <t>Andres</t>
        </is>
      </c>
      <c r="C9" s="34" t="n">
        <v>7</v>
      </c>
      <c r="D9" s="34" t="n">
        <v>126</v>
      </c>
      <c r="E9" s="34" t="n">
        <v>84</v>
      </c>
      <c r="F9" s="34" t="n">
        <v>77</v>
      </c>
      <c r="G9" s="34">
        <f>NA()</f>
        <v/>
      </c>
      <c r="H9" s="34">
        <f>NA()</f>
        <v/>
      </c>
      <c r="I9" s="34">
        <f>NA()</f>
        <v/>
      </c>
      <c r="J9" s="34">
        <f>IF(NOT(ISBLANK($A9)), ABS(G9-D9), "")</f>
        <v/>
      </c>
      <c r="K9" s="15">
        <f>J9/G9</f>
        <v/>
      </c>
      <c r="L9" s="34">
        <f>ABS(H9-E9)</f>
        <v/>
      </c>
      <c r="M9" s="15">
        <f>L9/H9</f>
        <v/>
      </c>
      <c r="N9" s="34">
        <f>ABS(I9-F9)</f>
        <v/>
      </c>
      <c r="O9" s="15">
        <f>N9/I9</f>
        <v/>
      </c>
    </row>
    <row r="10">
      <c r="A10" s="14" t="n">
        <v>7</v>
      </c>
      <c r="B10" s="34" t="inlineStr">
        <is>
          <t>Andres</t>
        </is>
      </c>
      <c r="C10" s="34" t="n">
        <v>8</v>
      </c>
      <c r="D10" s="34" t="n">
        <v>126</v>
      </c>
      <c r="E10" s="34" t="n">
        <v>86</v>
      </c>
      <c r="F10" s="34" t="n">
        <v>78</v>
      </c>
      <c r="G10" s="34">
        <f>NA()</f>
        <v/>
      </c>
      <c r="H10" s="34">
        <f>NA()</f>
        <v/>
      </c>
      <c r="I10" s="34">
        <f>NA()</f>
        <v/>
      </c>
      <c r="J10" s="34">
        <f>IF(NOT(ISBLANK($A10)), ABS(G10-D10), "")</f>
        <v/>
      </c>
      <c r="K10" s="16">
        <f>J10/G10</f>
        <v/>
      </c>
      <c r="L10" s="34">
        <f>ABS(H10-E10)</f>
        <v/>
      </c>
      <c r="M10" s="15">
        <f>L10/H10</f>
        <v/>
      </c>
      <c r="N10" s="34">
        <f>ABS(I10-F10)</f>
        <v/>
      </c>
      <c r="O10" s="15">
        <f>N10/I10</f>
        <v/>
      </c>
    </row>
    <row r="11">
      <c r="A11" s="14" t="n">
        <v>8</v>
      </c>
      <c r="B11" s="34" t="inlineStr">
        <is>
          <t>Andres</t>
        </is>
      </c>
      <c r="C11" s="34" t="n">
        <v>9</v>
      </c>
      <c r="D11" s="34" t="n">
        <v>130</v>
      </c>
      <c r="E11" s="34" t="n">
        <v>93</v>
      </c>
      <c r="F11" s="34" t="n">
        <v>77</v>
      </c>
      <c r="G11" s="34">
        <f>NA()</f>
        <v/>
      </c>
      <c r="H11" s="34">
        <f>NA()</f>
        <v/>
      </c>
      <c r="I11" s="34">
        <f>NA()</f>
        <v/>
      </c>
      <c r="J11" s="34">
        <f>IF(NOT(ISBLANK($A11)), ABS(G11-D11), "")</f>
        <v/>
      </c>
      <c r="K11" s="15">
        <f>J11/G11</f>
        <v/>
      </c>
      <c r="L11" s="34">
        <f>ABS(H11-E11)</f>
        <v/>
      </c>
      <c r="M11" s="15">
        <f>L11/H11</f>
        <v/>
      </c>
      <c r="N11" s="34">
        <f>ABS(I11-F11)</f>
        <v/>
      </c>
      <c r="O11" s="15">
        <f>N11/I11</f>
        <v/>
      </c>
    </row>
    <row r="12">
      <c r="A12" s="14" t="n">
        <v>9</v>
      </c>
      <c r="B12" s="34" t="inlineStr">
        <is>
          <t>Andres</t>
        </is>
      </c>
      <c r="C12" s="34" t="n">
        <v>10</v>
      </c>
      <c r="D12" s="34" t="n">
        <v>134</v>
      </c>
      <c r="E12" s="34" t="n">
        <v>94</v>
      </c>
      <c r="F12" s="34" t="n">
        <v>76</v>
      </c>
      <c r="G12" s="34">
        <f>NA()</f>
        <v/>
      </c>
      <c r="H12" s="34">
        <f>NA()</f>
        <v/>
      </c>
      <c r="I12" s="34">
        <f>NA()</f>
        <v/>
      </c>
      <c r="J12" s="34">
        <f>IF(NOT(ISBLANK($A12)), ABS(G12-D12), "")</f>
        <v/>
      </c>
      <c r="K12" s="15">
        <f>J12/G12</f>
        <v/>
      </c>
      <c r="L12" s="34">
        <f>ABS(H12-E12)</f>
        <v/>
      </c>
      <c r="M12" s="15">
        <f>L12/H12</f>
        <v/>
      </c>
      <c r="N12" s="34">
        <f>ABS(I12-F12)</f>
        <v/>
      </c>
      <c r="O12" s="15">
        <f>N12/I12</f>
        <v/>
      </c>
    </row>
    <row r="13">
      <c r="A13" s="14" t="n">
        <v>10</v>
      </c>
      <c r="B13" s="34" t="inlineStr">
        <is>
          <t>Andres</t>
        </is>
      </c>
      <c r="C13" s="34" t="n">
        <v>11</v>
      </c>
      <c r="D13" s="34">
        <f>NA()</f>
        <v/>
      </c>
      <c r="E13" s="34">
        <f>NA()</f>
        <v/>
      </c>
      <c r="F13" s="34">
        <f>NA()</f>
        <v/>
      </c>
      <c r="G13" s="34" t="n">
        <v>126</v>
      </c>
      <c r="H13" s="34" t="n">
        <v>85</v>
      </c>
      <c r="I13" s="34" t="n">
        <v>71</v>
      </c>
      <c r="J13" s="34">
        <f>IF(NOT(ISBLANK($A13)), ABS(G13-D13), "")</f>
        <v/>
      </c>
      <c r="K13" s="15">
        <f>J13/G13</f>
        <v/>
      </c>
      <c r="L13" s="34">
        <f>ABS(H13-E13)</f>
        <v/>
      </c>
      <c r="M13" s="15">
        <f>L13/H13</f>
        <v/>
      </c>
      <c r="N13" s="34">
        <f>ABS(I13-F13)</f>
        <v/>
      </c>
      <c r="O13" s="15">
        <f>N13/I13</f>
        <v/>
      </c>
    </row>
    <row r="14">
      <c r="A14" s="14" t="n">
        <v>11</v>
      </c>
      <c r="B14" s="34" t="inlineStr">
        <is>
          <t>Andres</t>
        </is>
      </c>
      <c r="C14" s="34" t="n">
        <v>12</v>
      </c>
      <c r="D14" s="34" t="n">
        <v>135</v>
      </c>
      <c r="E14" s="34" t="n">
        <v>73</v>
      </c>
      <c r="F14" s="34" t="n">
        <v>68</v>
      </c>
      <c r="G14" s="34" t="n">
        <v>120</v>
      </c>
      <c r="H14" s="34" t="n">
        <v>74</v>
      </c>
      <c r="I14" s="34" t="n">
        <v>66</v>
      </c>
      <c r="J14" s="34">
        <f>IF(NOT(ISBLANK($A14)), ABS(G14-D14), "")</f>
        <v/>
      </c>
      <c r="K14" s="15">
        <f>J14/G14</f>
        <v/>
      </c>
      <c r="L14" s="34">
        <f>ABS(H14-E14)</f>
        <v/>
      </c>
      <c r="M14" s="15">
        <f>L14/H14</f>
        <v/>
      </c>
      <c r="N14" s="34">
        <f>ABS(I14-F14)</f>
        <v/>
      </c>
      <c r="O14" s="15">
        <f>N14/I14</f>
        <v/>
      </c>
    </row>
    <row r="15">
      <c r="A15" s="14" t="n">
        <v>12</v>
      </c>
      <c r="B15" s="34" t="inlineStr">
        <is>
          <t>Andres</t>
        </is>
      </c>
      <c r="C15" s="34" t="n">
        <v>13</v>
      </c>
      <c r="D15" s="34" t="n">
        <v>130</v>
      </c>
      <c r="E15" s="34" t="n">
        <v>71</v>
      </c>
      <c r="F15" s="34" t="n">
        <v>74</v>
      </c>
      <c r="G15" s="34" t="n">
        <v>135</v>
      </c>
      <c r="H15" s="34" t="n">
        <v>69</v>
      </c>
      <c r="I15" s="34" t="n">
        <v>66</v>
      </c>
      <c r="J15" s="34">
        <f>IF(NOT(ISBLANK($A15)), ABS(G15-D15), "")</f>
        <v/>
      </c>
      <c r="K15" s="15">
        <f>J15/G15</f>
        <v/>
      </c>
      <c r="L15" s="23">
        <f>ABS(H15-E15)</f>
        <v/>
      </c>
      <c r="M15" s="15">
        <f>L15/H15</f>
        <v/>
      </c>
      <c r="N15" s="34">
        <f>ABS(I15-F15)</f>
        <v/>
      </c>
      <c r="O15" s="15">
        <f>N15/I15</f>
        <v/>
      </c>
    </row>
    <row r="16">
      <c r="A16" s="14" t="n">
        <v>13</v>
      </c>
      <c r="B16" s="34" t="inlineStr">
        <is>
          <t>Andres</t>
        </is>
      </c>
      <c r="C16" s="34" t="n">
        <v>14</v>
      </c>
      <c r="D16" s="34" t="n">
        <v>125</v>
      </c>
      <c r="E16" s="34" t="n">
        <v>78</v>
      </c>
      <c r="F16" s="34" t="n">
        <v>65</v>
      </c>
      <c r="G16" s="34" t="n">
        <v>117</v>
      </c>
      <c r="H16" s="34" t="n">
        <v>70</v>
      </c>
      <c r="I16" s="34" t="n">
        <v>67</v>
      </c>
      <c r="J16" s="34">
        <f>IF(NOT(ISBLANK($A16)), ABS(G16-D16), "")</f>
        <v/>
      </c>
      <c r="K16" s="15">
        <f>J16/G16</f>
        <v/>
      </c>
      <c r="L16" s="34">
        <f>ABS(H16-E16)</f>
        <v/>
      </c>
      <c r="M16" s="15">
        <f>L16/H16</f>
        <v/>
      </c>
      <c r="N16" s="34">
        <f>ABS(I16-F16)</f>
        <v/>
      </c>
      <c r="O16" s="15">
        <f>N16/I16</f>
        <v/>
      </c>
    </row>
    <row r="17">
      <c r="A17" s="14" t="n">
        <v>14</v>
      </c>
      <c r="B17" s="34" t="inlineStr">
        <is>
          <t>Andres</t>
        </is>
      </c>
      <c r="C17" s="34" t="n">
        <v>15</v>
      </c>
      <c r="D17" s="34" t="n">
        <v>140</v>
      </c>
      <c r="E17" s="34" t="n">
        <v>77</v>
      </c>
      <c r="F17" s="34" t="n">
        <v>70</v>
      </c>
      <c r="G17" s="34" t="n">
        <v>123</v>
      </c>
      <c r="H17" s="34" t="n">
        <v>74</v>
      </c>
      <c r="I17" s="34" t="n">
        <v>70</v>
      </c>
      <c r="J17" s="34">
        <f>IF(NOT(ISBLANK($A17)), ABS(G17-D17), "")</f>
        <v/>
      </c>
      <c r="K17" s="15">
        <f>J17/G17</f>
        <v/>
      </c>
      <c r="L17" s="34">
        <f>ABS(H17-E17)</f>
        <v/>
      </c>
      <c r="M17" s="15">
        <f>L17/H17</f>
        <v/>
      </c>
      <c r="N17" s="34">
        <f>ABS(I17-F17)</f>
        <v/>
      </c>
      <c r="O17" s="15">
        <f>N17/I17</f>
        <v/>
      </c>
    </row>
    <row r="18">
      <c r="A18" s="14" t="n">
        <v>15</v>
      </c>
      <c r="B18" s="34" t="inlineStr">
        <is>
          <t>Andres</t>
        </is>
      </c>
      <c r="C18" s="34" t="n">
        <v>16</v>
      </c>
      <c r="D18" s="34" t="n">
        <v>150</v>
      </c>
      <c r="E18" s="34" t="n">
        <v>79</v>
      </c>
      <c r="F18" s="34" t="n">
        <v>67</v>
      </c>
      <c r="G18" s="34" t="n">
        <v>134</v>
      </c>
      <c r="H18" s="34" t="n">
        <v>78</v>
      </c>
      <c r="I18" s="34" t="n">
        <v>70</v>
      </c>
      <c r="J18" s="34">
        <f>IF(NOT(ISBLANK($A18)), ABS(G18-D18), "")</f>
        <v/>
      </c>
      <c r="K18" s="15">
        <f>J18/G18</f>
        <v/>
      </c>
      <c r="L18" s="34">
        <f>ABS(H18-E18)</f>
        <v/>
      </c>
      <c r="M18" s="15">
        <f>L18/H18</f>
        <v/>
      </c>
      <c r="N18" s="34">
        <f>ABS(I18-F18)</f>
        <v/>
      </c>
      <c r="O18" s="15">
        <f>N18/I18</f>
        <v/>
      </c>
    </row>
    <row r="19">
      <c r="A19" s="14" t="n">
        <v>16</v>
      </c>
      <c r="B19" s="34" t="inlineStr">
        <is>
          <t>Andres</t>
        </is>
      </c>
      <c r="C19" s="34" t="n">
        <v>17</v>
      </c>
      <c r="D19" s="34" t="n">
        <v>131</v>
      </c>
      <c r="E19" s="34" t="n">
        <v>81</v>
      </c>
      <c r="F19" s="34" t="n">
        <v>65</v>
      </c>
      <c r="G19" s="34" t="n">
        <v>136</v>
      </c>
      <c r="H19" s="34" t="n">
        <v>79</v>
      </c>
      <c r="I19" s="34" t="n">
        <v>69</v>
      </c>
      <c r="J19" s="34">
        <f>IF(NOT(ISBLANK($A19)), ABS(G19-D19), "")</f>
        <v/>
      </c>
      <c r="K19" s="15">
        <f>J19/G19</f>
        <v/>
      </c>
      <c r="L19" s="34">
        <f>ABS(H19-E19)</f>
        <v/>
      </c>
      <c r="M19" s="15">
        <f>L19/H19</f>
        <v/>
      </c>
      <c r="N19" s="34">
        <f>ABS(I19-F19)</f>
        <v/>
      </c>
      <c r="O19" s="15">
        <f>N19/I19</f>
        <v/>
      </c>
    </row>
    <row r="20">
      <c r="A20" s="14" t="n">
        <v>17</v>
      </c>
      <c r="B20" s="34" t="inlineStr">
        <is>
          <t>Andres</t>
        </is>
      </c>
      <c r="C20" s="34" t="n">
        <v>18</v>
      </c>
      <c r="D20" s="34" t="n">
        <v>133</v>
      </c>
      <c r="E20" s="34" t="n">
        <v>82</v>
      </c>
      <c r="F20" s="34" t="n">
        <v>90</v>
      </c>
      <c r="G20" s="34" t="n">
        <v>135</v>
      </c>
      <c r="H20" s="34" t="n">
        <v>81</v>
      </c>
      <c r="I20" s="34" t="n">
        <v>79</v>
      </c>
      <c r="J20" s="34">
        <f>IF(NOT(ISBLANK($A20)), ABS(G20-D20), "")</f>
        <v/>
      </c>
      <c r="K20" s="15">
        <f>J20/G20</f>
        <v/>
      </c>
      <c r="L20" s="34">
        <f>ABS(H20-E20)</f>
        <v/>
      </c>
      <c r="M20" s="15">
        <f>L20/H20</f>
        <v/>
      </c>
      <c r="N20" s="34">
        <f>ABS(I20-F20)</f>
        <v/>
      </c>
      <c r="O20" s="15">
        <f>N20/I20</f>
        <v/>
      </c>
    </row>
    <row r="21">
      <c r="A21" s="14" t="n">
        <v>18</v>
      </c>
      <c r="B21" s="34" t="inlineStr">
        <is>
          <t>Andres</t>
        </is>
      </c>
      <c r="C21" s="34" t="n">
        <v>19</v>
      </c>
      <c r="D21" s="34" t="n">
        <v>127</v>
      </c>
      <c r="E21" s="34" t="n">
        <v>89</v>
      </c>
      <c r="F21" s="34" t="n">
        <v>75</v>
      </c>
      <c r="G21" s="34" t="n">
        <v>144</v>
      </c>
      <c r="H21" s="34" t="n">
        <v>86</v>
      </c>
      <c r="I21" s="34" t="n">
        <v>78</v>
      </c>
      <c r="J21" s="34">
        <f>IF(NOT(ISBLANK($A21)), ABS(G21-D21), "")</f>
        <v/>
      </c>
      <c r="K21" s="15">
        <f>J21/G21</f>
        <v/>
      </c>
      <c r="L21" s="34">
        <f>ABS(H21-E21)</f>
        <v/>
      </c>
      <c r="M21" s="15">
        <f>L21/H21</f>
        <v/>
      </c>
      <c r="N21" s="34">
        <f>ABS(I21-F21)</f>
        <v/>
      </c>
      <c r="O21" s="15">
        <f>N21/I21</f>
        <v/>
      </c>
    </row>
    <row r="22">
      <c r="A22" s="14" t="n">
        <v>19</v>
      </c>
      <c r="B22" s="34" t="inlineStr">
        <is>
          <t>Andres</t>
        </is>
      </c>
      <c r="C22" s="34" t="n">
        <v>20</v>
      </c>
      <c r="D22" s="34" t="n">
        <v>122</v>
      </c>
      <c r="E22" s="34" t="n">
        <v>91</v>
      </c>
      <c r="F22" s="34" t="n">
        <v>85</v>
      </c>
      <c r="G22" s="34" t="n">
        <v>131</v>
      </c>
      <c r="H22" s="34" t="n">
        <v>77</v>
      </c>
      <c r="I22" s="34" t="n">
        <v>72</v>
      </c>
      <c r="J22" s="34">
        <f>IF(NOT(ISBLANK($A22)), ABS(G22-D22), "")</f>
        <v/>
      </c>
      <c r="K22" s="15">
        <f>J22/G22</f>
        <v/>
      </c>
      <c r="L22" s="34">
        <f>ABS(H22-E22)</f>
        <v/>
      </c>
      <c r="M22" s="15">
        <f>L22/H22</f>
        <v/>
      </c>
      <c r="N22" s="34">
        <f>ABS(I22-F22)</f>
        <v/>
      </c>
      <c r="O22" s="15">
        <f>N22/I22</f>
        <v/>
      </c>
    </row>
    <row r="23">
      <c r="A23" s="14" t="n">
        <v>20</v>
      </c>
      <c r="B23" s="34" t="inlineStr">
        <is>
          <t>Andres</t>
        </is>
      </c>
      <c r="C23" s="34" t="n">
        <v>21</v>
      </c>
      <c r="D23" s="34" t="n">
        <v>129</v>
      </c>
      <c r="E23" s="34" t="n">
        <v>86</v>
      </c>
      <c r="F23" s="34" t="n">
        <v>77</v>
      </c>
      <c r="G23" s="34" t="n">
        <v>130</v>
      </c>
      <c r="H23" s="34" t="n">
        <v>85</v>
      </c>
      <c r="I23" s="34" t="n">
        <v>67</v>
      </c>
      <c r="J23" s="34">
        <f>IF(NOT(ISBLANK($A23)), ABS(G23-D23), "")</f>
        <v/>
      </c>
      <c r="K23" s="15">
        <f>J23/G23</f>
        <v/>
      </c>
      <c r="L23" s="34">
        <f>ABS(H23-E23)</f>
        <v/>
      </c>
      <c r="M23" s="15">
        <f>L23/H23</f>
        <v/>
      </c>
      <c r="N23" s="34">
        <f>ABS(I23-F23)</f>
        <v/>
      </c>
      <c r="O23" s="15">
        <f>N23/I23</f>
        <v/>
      </c>
      <c r="Q23" s="3" t="n"/>
    </row>
    <row r="24">
      <c r="A24" s="14" t="n">
        <v>21</v>
      </c>
      <c r="B24" s="34" t="inlineStr">
        <is>
          <t>Andres</t>
        </is>
      </c>
      <c r="C24" s="34" t="n">
        <v>22</v>
      </c>
      <c r="D24" s="34" t="n">
        <v>128</v>
      </c>
      <c r="E24" s="34" t="n">
        <v>84</v>
      </c>
      <c r="F24" s="34" t="n">
        <v>84</v>
      </c>
      <c r="G24" s="34" t="n">
        <v>131</v>
      </c>
      <c r="H24" s="34" t="n">
        <v>86</v>
      </c>
      <c r="I24" s="34" t="n">
        <v>68</v>
      </c>
      <c r="J24" s="34">
        <f>IF(NOT(ISBLANK($A24)), ABS(G24-D24), "")</f>
        <v/>
      </c>
      <c r="K24" s="15">
        <f>J24/G24</f>
        <v/>
      </c>
      <c r="L24" s="34">
        <f>ABS(H24-E24)</f>
        <v/>
      </c>
      <c r="M24" s="15">
        <f>L24/H24</f>
        <v/>
      </c>
      <c r="N24" s="34">
        <f>ABS(I24-F24)</f>
        <v/>
      </c>
      <c r="O24" s="15">
        <f>N24/I24</f>
        <v/>
      </c>
    </row>
    <row r="25">
      <c r="A25" s="14" t="n">
        <v>22</v>
      </c>
      <c r="B25" s="34" t="inlineStr">
        <is>
          <t>Andres</t>
        </is>
      </c>
      <c r="C25" s="34" t="n">
        <v>23</v>
      </c>
      <c r="D25" s="34" t="n">
        <v>152</v>
      </c>
      <c r="E25" s="34" t="n">
        <v>111</v>
      </c>
      <c r="F25" s="34" t="n">
        <v>89</v>
      </c>
      <c r="G25" s="34" t="n">
        <v>127</v>
      </c>
      <c r="H25" s="34" t="n">
        <v>82</v>
      </c>
      <c r="I25" s="34" t="n">
        <v>61</v>
      </c>
      <c r="J25" s="34">
        <f>IF(NOT(ISBLANK($A25)), ABS(G25-D25), "")</f>
        <v/>
      </c>
      <c r="K25" s="15">
        <f>J25/G25</f>
        <v/>
      </c>
      <c r="L25" s="34">
        <f>ABS(H25-E25)</f>
        <v/>
      </c>
      <c r="M25" s="15">
        <f>L25/H25</f>
        <v/>
      </c>
      <c r="N25" s="34">
        <f>ABS(I25-F25)</f>
        <v/>
      </c>
      <c r="O25" s="15">
        <f>N25/I25</f>
        <v/>
      </c>
    </row>
    <row r="26">
      <c r="A26" s="14" t="n">
        <v>23</v>
      </c>
      <c r="B26" s="34" t="inlineStr">
        <is>
          <t>Andres</t>
        </is>
      </c>
      <c r="C26" s="34" t="n">
        <v>24</v>
      </c>
      <c r="D26" s="34" t="n">
        <v>124</v>
      </c>
      <c r="E26" s="34" t="n">
        <v>97</v>
      </c>
      <c r="F26" s="34" t="n">
        <v>77</v>
      </c>
      <c r="G26" s="34" t="n">
        <v>132</v>
      </c>
      <c r="H26" s="34" t="n">
        <v>80</v>
      </c>
      <c r="I26" s="34" t="n">
        <v>57</v>
      </c>
      <c r="J26" s="34">
        <f>IF(NOT(ISBLANK($A26)), ABS(G26-D26), "")</f>
        <v/>
      </c>
      <c r="K26" s="15">
        <f>J26/G26</f>
        <v/>
      </c>
      <c r="L26" s="34">
        <f>ABS(H26-E26)</f>
        <v/>
      </c>
      <c r="M26" s="15">
        <f>L26/H26</f>
        <v/>
      </c>
      <c r="N26" s="34">
        <f>ABS(I26-F26)</f>
        <v/>
      </c>
      <c r="O26" s="15">
        <f>N26/I26</f>
        <v/>
      </c>
    </row>
    <row r="27">
      <c r="A27" s="14" t="n">
        <v>24</v>
      </c>
      <c r="B27" s="34" t="inlineStr">
        <is>
          <t>Andres</t>
        </is>
      </c>
      <c r="C27" s="34" t="n">
        <v>25</v>
      </c>
      <c r="D27" s="34" t="n">
        <v>133</v>
      </c>
      <c r="E27" s="34" t="n">
        <v>100</v>
      </c>
      <c r="F27" s="34" t="n">
        <v>79</v>
      </c>
      <c r="G27" s="34" t="n">
        <v>129</v>
      </c>
      <c r="H27" s="34" t="n">
        <v>80</v>
      </c>
      <c r="I27" s="34" t="n">
        <v>64</v>
      </c>
      <c r="J27" s="34">
        <f>IF(NOT(ISBLANK($A27)), ABS(G27-D27), "")</f>
        <v/>
      </c>
      <c r="K27" s="15">
        <f>J27/G27</f>
        <v/>
      </c>
      <c r="L27" s="34">
        <f>ABS(H27-E27)</f>
        <v/>
      </c>
      <c r="M27" s="15">
        <f>L27/H27</f>
        <v/>
      </c>
      <c r="N27" s="34">
        <f>ABS(I27-F27)</f>
        <v/>
      </c>
      <c r="O27" s="15">
        <f>N27/I27</f>
        <v/>
      </c>
    </row>
    <row r="28">
      <c r="A28" s="14" t="n">
        <v>25</v>
      </c>
      <c r="B28" s="34" t="inlineStr">
        <is>
          <t>Maez</t>
        </is>
      </c>
      <c r="C28" s="34" t="n">
        <v>1</v>
      </c>
      <c r="D28" s="34">
        <f>NA()</f>
        <v/>
      </c>
      <c r="E28" s="34">
        <f>NA()</f>
        <v/>
      </c>
      <c r="F28" s="34">
        <f>NA()</f>
        <v/>
      </c>
      <c r="G28" s="34" t="n">
        <v>116</v>
      </c>
      <c r="H28" s="34" t="n">
        <v>65</v>
      </c>
      <c r="I28" s="34" t="n">
        <v>54</v>
      </c>
      <c r="J28" s="34">
        <f>IF(NOT(ISBLANK($A28)), ABS(G28-D28), "")</f>
        <v/>
      </c>
      <c r="K28" s="15">
        <f>J28/G28</f>
        <v/>
      </c>
      <c r="L28" s="34">
        <f>ABS(H28-E28)</f>
        <v/>
      </c>
      <c r="M28" s="15">
        <f>L28/H28</f>
        <v/>
      </c>
      <c r="N28" s="34">
        <f>ABS(I28-F28)</f>
        <v/>
      </c>
      <c r="O28" s="15">
        <f>N28/I28</f>
        <v/>
      </c>
    </row>
    <row r="29">
      <c r="A29" s="14" t="n">
        <v>26</v>
      </c>
      <c r="B29" s="34" t="inlineStr">
        <is>
          <t>Maez</t>
        </is>
      </c>
      <c r="C29" s="34" t="n">
        <v>2</v>
      </c>
      <c r="D29" s="34" t="n">
        <v>134</v>
      </c>
      <c r="E29" s="34" t="n">
        <v>77</v>
      </c>
      <c r="F29" s="34" t="n">
        <v>53</v>
      </c>
      <c r="G29" s="34" t="n">
        <v>124</v>
      </c>
      <c r="H29" s="34" t="n">
        <v>62</v>
      </c>
      <c r="I29" s="34" t="n">
        <v>51</v>
      </c>
      <c r="J29" s="34">
        <f>IF(NOT(ISBLANK($A29)), ABS(G29-D29), "")</f>
        <v/>
      </c>
      <c r="K29" s="15">
        <f>J29/G29</f>
        <v/>
      </c>
      <c r="L29" s="34">
        <f>ABS(H29-E29)</f>
        <v/>
      </c>
      <c r="M29" s="15">
        <f>L29/H29</f>
        <v/>
      </c>
      <c r="N29" s="34">
        <f>ABS(I29-F29)</f>
        <v/>
      </c>
      <c r="O29" s="15">
        <f>N29/I29</f>
        <v/>
      </c>
    </row>
    <row r="30">
      <c r="A30" s="14" t="n">
        <v>27</v>
      </c>
      <c r="B30" s="34" t="inlineStr">
        <is>
          <t>Pruebas</t>
        </is>
      </c>
      <c r="C30" s="34" t="n">
        <v>1</v>
      </c>
      <c r="D30" s="34">
        <f>NA()</f>
        <v/>
      </c>
      <c r="E30" s="34">
        <f>NA()</f>
        <v/>
      </c>
      <c r="F30" s="34">
        <f>NA()</f>
        <v/>
      </c>
      <c r="G30" s="34" t="n">
        <v>128</v>
      </c>
      <c r="H30" s="34" t="n">
        <v>81</v>
      </c>
      <c r="I30" s="34" t="n">
        <v>60</v>
      </c>
      <c r="J30" s="34">
        <f>IF(NOT(ISBLANK($A30)), ABS(G30-D30), "")</f>
        <v/>
      </c>
      <c r="K30" s="15">
        <f>J30/G30</f>
        <v/>
      </c>
      <c r="L30" s="34">
        <f>ABS(H30-E30)</f>
        <v/>
      </c>
      <c r="M30" s="15">
        <f>L30/H30</f>
        <v/>
      </c>
      <c r="N30" s="34">
        <f>ABS(I30-F30)</f>
        <v/>
      </c>
      <c r="O30" s="15">
        <f>N30/I30</f>
        <v/>
      </c>
    </row>
    <row r="31">
      <c r="A31" s="14" t="n">
        <v>28</v>
      </c>
      <c r="B31" s="34" t="inlineStr">
        <is>
          <t>Pruebas</t>
        </is>
      </c>
      <c r="C31" s="34" t="n">
        <v>2</v>
      </c>
      <c r="D31" s="34">
        <f>NA()</f>
        <v/>
      </c>
      <c r="E31" s="34">
        <f>NA()</f>
        <v/>
      </c>
      <c r="F31" s="34">
        <f>NA()</f>
        <v/>
      </c>
      <c r="G31" s="34" t="n">
        <v>126</v>
      </c>
      <c r="H31" s="34" t="n">
        <v>85</v>
      </c>
      <c r="I31" s="34" t="n">
        <v>71</v>
      </c>
      <c r="J31" s="34">
        <f>IF(NOT(ISBLANK($A31)), ABS(G31-D31), "")</f>
        <v/>
      </c>
      <c r="K31" s="15">
        <f>J31/G31</f>
        <v/>
      </c>
      <c r="L31" s="34">
        <f>ABS(H31-E31)</f>
        <v/>
      </c>
      <c r="M31" s="15">
        <f>L31/H31</f>
        <v/>
      </c>
      <c r="N31" s="34">
        <f>ABS(I31-F31)</f>
        <v/>
      </c>
      <c r="O31" s="15">
        <f>N31/I31</f>
        <v/>
      </c>
    </row>
    <row r="32">
      <c r="A32" s="17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9" t="n"/>
      <c r="L32" s="18" t="n"/>
      <c r="M32" s="19" t="n"/>
      <c r="N32" s="18" t="n"/>
      <c r="O32" s="19" t="n"/>
    </row>
  </sheetData>
  <mergeCells count="12">
    <mergeCell ref="Q1:Q3"/>
    <mergeCell ref="V1:W1"/>
    <mergeCell ref="T1:U1"/>
    <mergeCell ref="L1:M1"/>
    <mergeCell ref="J1:K1"/>
    <mergeCell ref="C1:C2"/>
    <mergeCell ref="B1:B2"/>
    <mergeCell ref="D1:F1"/>
    <mergeCell ref="R1:S1"/>
    <mergeCell ref="N1:O1"/>
    <mergeCell ref="G1:I1"/>
    <mergeCell ref="A1:A2"/>
  </mergeCells>
  <conditionalFormatting sqref="A1:O1048576">
    <cfRule type="containsErrors" priority="1" dxfId="4">
      <formula>ISERROR(A1)</formula>
    </cfRule>
    <cfRule type="expression" priority="12" dxfId="3">
      <formula>ISBLANK(A1)</formula>
    </cfRule>
  </conditionalFormatting>
  <conditionalFormatting sqref="D3:D1048576 G3:G1048576 J3:J1048576">
    <cfRule type="notContainsBlanks" priority="13" dxfId="2">
      <formula>LEN(TRIM(D3))&gt;0</formula>
    </cfRule>
  </conditionalFormatting>
  <conditionalFormatting sqref="E3:E1048576 H3:H1048576 L3:L1048576">
    <cfRule type="notContainsBlanks" priority="3" dxfId="1">
      <formula>LEN(TRIM(E3))&gt;0</formula>
    </cfRule>
  </conditionalFormatting>
  <conditionalFormatting sqref="F3:F1048576 I3:I1048576 N3:N1048576">
    <cfRule type="notContainsBlanks" priority="2" dxfId="0">
      <formula>LEN(TRIM(F3))&gt;0</formula>
    </cfRule>
  </conditionalFormatting>
  <conditionalFormatting sqref="K3:K1048576 M3:M1048576 O3:O1048576 S3 U3 W3">
    <cfRule type="colorScale" priority="11">
      <colorScale>
        <cfvo type="num" val="0"/>
        <cfvo type="num" val="0.08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F4" sqref="F4"/>
    </sheetView>
  </sheetViews>
  <sheetFormatPr baseColWidth="10" defaultColWidth="8.88671875" defaultRowHeight="14.4"/>
  <cols>
    <col width="8.88671875" customWidth="1" style="34" min="1" max="9"/>
  </cols>
  <sheetData>
    <row r="1">
      <c r="A1" s="33" t="inlineStr">
        <is>
          <t>#</t>
        </is>
      </c>
      <c r="B1" s="33" t="inlineStr">
        <is>
          <t>SUJETO</t>
        </is>
      </c>
      <c r="C1" s="33" t="inlineStr">
        <is>
          <t>Nº</t>
        </is>
      </c>
      <c r="D1" s="33" t="inlineStr">
        <is>
          <t>SAM</t>
        </is>
      </c>
      <c r="G1" s="33" t="inlineStr">
        <is>
          <t>REAL</t>
        </is>
      </c>
    </row>
    <row r="2">
      <c r="D2" s="33" t="inlineStr">
        <is>
          <t>SYS</t>
        </is>
      </c>
      <c r="E2" s="33" t="inlineStr">
        <is>
          <t>DIA</t>
        </is>
      </c>
      <c r="F2" s="33" t="inlineStr">
        <is>
          <t>PPM</t>
        </is>
      </c>
      <c r="G2" s="33" t="inlineStr">
        <is>
          <t>SYS</t>
        </is>
      </c>
      <c r="H2" s="33" t="inlineStr">
        <is>
          <t>DIA</t>
        </is>
      </c>
      <c r="I2" s="33" t="inlineStr">
        <is>
          <t>PPM</t>
        </is>
      </c>
    </row>
  </sheetData>
  <mergeCells count="5">
    <mergeCell ref="C1:C2"/>
    <mergeCell ref="B1:B2"/>
    <mergeCell ref="D1:F1"/>
    <mergeCell ref="G1:I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Andres Sanchez</dc:creator>
  <dcterms:created xsi:type="dcterms:W3CDTF">2015-06-05T18:17:20Z</dcterms:created>
  <dcterms:modified xsi:type="dcterms:W3CDTF">2025-05-16T20:31:36Z</dcterms:modified>
  <cp:lastModifiedBy>ANDRES SANCHEZ SILVA</cp:lastModifiedBy>
  <cp:lastPrinted>2025-05-16T17:06:21Z</cp:lastPrinted>
</cp:coreProperties>
</file>