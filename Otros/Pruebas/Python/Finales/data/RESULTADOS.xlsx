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sans\Documents\UPM\TFM\Soft-Actuator-Measurement\Otros\Pruebas\Python\Finales\data\"/>
    </mc:Choice>
  </mc:AlternateContent>
  <xr:revisionPtr revIDLastSave="0" documentId="13_ncr:1_{6A913102-4AA2-40DC-A2BF-93715A05743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loodPressure" sheetId="1" r:id="rId1"/>
    <sheet name="BP_Subject" sheetId="2" r:id="rId2"/>
  </sheets>
  <calcPr calcId="181029"/>
</workbook>
</file>

<file path=xl/calcChain.xml><?xml version="1.0" encoding="utf-8"?>
<calcChain xmlns="http://schemas.openxmlformats.org/spreadsheetml/2006/main">
  <c r="H4" i="2" l="1"/>
  <c r="I4" i="2"/>
  <c r="J4" i="2"/>
  <c r="H5" i="2"/>
  <c r="I5" i="2"/>
  <c r="J5" i="2"/>
  <c r="H6" i="2"/>
  <c r="I6" i="2"/>
  <c r="J6" i="2"/>
  <c r="H7" i="2"/>
  <c r="I7" i="2"/>
  <c r="J7" i="2"/>
  <c r="H8" i="2"/>
  <c r="I8" i="2"/>
  <c r="J8" i="2"/>
  <c r="H9" i="2"/>
  <c r="I9" i="2"/>
  <c r="J9" i="2"/>
  <c r="H10" i="2"/>
  <c r="I10" i="2"/>
  <c r="J10" i="2"/>
  <c r="H11" i="2"/>
  <c r="I11" i="2"/>
  <c r="J11" i="2"/>
  <c r="I3" i="2"/>
  <c r="J3" i="2"/>
  <c r="H3" i="2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F16" i="1"/>
  <c r="L16" i="1" s="1"/>
  <c r="E16" i="1"/>
  <c r="K16" i="1" s="1"/>
  <c r="D16" i="1"/>
  <c r="J16" i="1" s="1"/>
  <c r="L15" i="1"/>
  <c r="K15" i="1"/>
  <c r="J15" i="1"/>
  <c r="L14" i="1"/>
  <c r="K14" i="1"/>
  <c r="J14" i="1"/>
  <c r="L13" i="1"/>
  <c r="K13" i="1"/>
  <c r="J13" i="1"/>
  <c r="F13" i="1"/>
  <c r="E13" i="1"/>
  <c r="D13" i="1"/>
  <c r="J12" i="1"/>
  <c r="I12" i="1"/>
  <c r="L12" i="1" s="1"/>
  <c r="H12" i="1"/>
  <c r="K12" i="1" s="1"/>
  <c r="G12" i="1"/>
  <c r="L11" i="1"/>
  <c r="K11" i="1"/>
  <c r="I11" i="1"/>
  <c r="H11" i="1"/>
  <c r="G11" i="1"/>
  <c r="J11" i="1" s="1"/>
  <c r="L10" i="1"/>
  <c r="J10" i="1"/>
  <c r="I10" i="1"/>
  <c r="H10" i="1"/>
  <c r="K10" i="1" s="1"/>
  <c r="G10" i="1"/>
  <c r="K9" i="1"/>
  <c r="J9" i="1"/>
  <c r="I9" i="1"/>
  <c r="L9" i="1" s="1"/>
  <c r="H9" i="1"/>
  <c r="G9" i="1"/>
  <c r="I8" i="1"/>
  <c r="L8" i="1" s="1"/>
  <c r="H8" i="1"/>
  <c r="K8" i="1" s="1"/>
  <c r="G8" i="1"/>
  <c r="J8" i="1" s="1"/>
  <c r="L7" i="1"/>
  <c r="K7" i="1"/>
  <c r="I7" i="1"/>
  <c r="H7" i="1"/>
  <c r="G7" i="1"/>
  <c r="J7" i="1" s="1"/>
  <c r="L6" i="1"/>
  <c r="J6" i="1"/>
  <c r="I6" i="1"/>
  <c r="H6" i="1"/>
  <c r="K6" i="1" s="1"/>
  <c r="G6" i="1"/>
  <c r="K5" i="1"/>
  <c r="J5" i="1"/>
  <c r="I5" i="1"/>
  <c r="L5" i="1" s="1"/>
  <c r="H5" i="1"/>
  <c r="G5" i="1"/>
  <c r="I4" i="1"/>
  <c r="L4" i="1" s="1"/>
  <c r="H4" i="1"/>
  <c r="K4" i="1" s="1"/>
  <c r="P3" i="1" s="1"/>
  <c r="G4" i="1"/>
  <c r="J4" i="1" s="1"/>
  <c r="O3" i="1" s="1"/>
  <c r="K3" i="1"/>
  <c r="J3" i="1"/>
  <c r="I3" i="1"/>
  <c r="L3" i="1" s="1"/>
  <c r="Q3" i="1" s="1"/>
  <c r="H3" i="1"/>
  <c r="G3" i="1"/>
</calcChain>
</file>

<file path=xl/sharedStrings.xml><?xml version="1.0" encoding="utf-8"?>
<sst xmlns="http://schemas.openxmlformats.org/spreadsheetml/2006/main" count="89" uniqueCount="22">
  <si>
    <t>#</t>
  </si>
  <si>
    <t>SUJETO</t>
  </si>
  <si>
    <t>VERSIÓN</t>
  </si>
  <si>
    <t>SAM</t>
  </si>
  <si>
    <t>REAL</t>
  </si>
  <si>
    <t>∆ SYS</t>
  </si>
  <si>
    <t>∆ DIA</t>
  </si>
  <si>
    <t>∆ PPM</t>
  </si>
  <si>
    <t>TOTAL</t>
  </si>
  <si>
    <t>SYS</t>
  </si>
  <si>
    <t>DIA</t>
  </si>
  <si>
    <t>PPM</t>
  </si>
  <si>
    <t>mmHg</t>
  </si>
  <si>
    <t>Andres</t>
  </si>
  <si>
    <t>Gabriel</t>
  </si>
  <si>
    <t>Gorka</t>
  </si>
  <si>
    <t>Javi</t>
  </si>
  <si>
    <t>Jorge</t>
  </si>
  <si>
    <t>Kiko</t>
  </si>
  <si>
    <t>Maez</t>
  </si>
  <si>
    <t>Maria</t>
  </si>
  <si>
    <t>Nataly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</si>
</sst>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3" fontId="2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/>
    <xf numFmtId="0" fontId="1" fillId="6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2" fillId="0" borderId="2" xfId="1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2" fillId="0" borderId="0" xfId="1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0" fillId="0" borderId="9" xfId="0" applyBorder="1"/>
    <xf numFmtId="0" fontId="0" fillId="0" borderId="1" xfId="0" applyBorder="1"/>
    <xf numFmtId="0" fontId="1" fillId="0" borderId="4" xfId="0" applyFon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 applyAlignment="1">
      <alignment horizontal="center" vertical="center"/>
    </xf>
    <xf numFmtId="0" fontId="0" fillId="0" borderId="13" xfId="0" applyBorder="1"/>
    <xf numFmtId="2" fontId="0" fillId="0" borderId="0" xfId="0" applyNumberFormat="1" applyAlignment="1">
      <alignment horizontal="center" vertical="center"/>
    </xf>
    <xf numFmtId="0" fontId="0" fillId="0" borderId="15" xfId="0" applyBorder="1"/>
  </cellXfs>
  <cellStyles count="2">
    <cellStyle name="Millares" xfId="1" builtinId="3"/>
    <cellStyle name="Normal" xfId="0" builtinId="0"/>
  </cellStyles>
  <dxfs count="27"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workbookViewId="0">
      <selection activeCell="N1" sqref="N1:Q3"/>
    </sheetView>
  </sheetViews>
  <sheetFormatPr baseColWidth="10" defaultColWidth="8.88671875" defaultRowHeight="14.4" x14ac:dyDescent="0.3"/>
  <cols>
    <col min="1" max="1" width="8.88671875" style="12" customWidth="1"/>
    <col min="2" max="10" width="8.88671875" style="13" customWidth="1"/>
    <col min="11" max="11" width="11.33203125" style="13" bestFit="1" customWidth="1"/>
    <col min="12" max="12" width="8.88671875" style="13" customWidth="1"/>
  </cols>
  <sheetData>
    <row r="1" spans="1:17" ht="15" customHeight="1" thickBot="1" x14ac:dyDescent="0.35">
      <c r="A1" s="25" t="s">
        <v>0</v>
      </c>
      <c r="B1" s="21" t="s">
        <v>1</v>
      </c>
      <c r="C1" s="21" t="s">
        <v>2</v>
      </c>
      <c r="D1" s="21" t="s">
        <v>3</v>
      </c>
      <c r="E1" s="23"/>
      <c r="F1" s="24"/>
      <c r="G1" s="21" t="s">
        <v>4</v>
      </c>
      <c r="H1" s="23"/>
      <c r="I1" s="24"/>
      <c r="J1" s="15" t="s">
        <v>5</v>
      </c>
      <c r="K1" s="15" t="s">
        <v>6</v>
      </c>
      <c r="L1" s="17" t="s">
        <v>7</v>
      </c>
      <c r="N1" s="18" t="s">
        <v>8</v>
      </c>
      <c r="O1" s="16" t="s">
        <v>5</v>
      </c>
      <c r="P1" s="15" t="s">
        <v>6</v>
      </c>
      <c r="Q1" s="15" t="s">
        <v>7</v>
      </c>
    </row>
    <row r="2" spans="1:17" ht="15" customHeight="1" thickBot="1" x14ac:dyDescent="0.35">
      <c r="A2" s="26"/>
      <c r="B2" s="22"/>
      <c r="C2" s="22"/>
      <c r="D2" s="3" t="s">
        <v>9</v>
      </c>
      <c r="E2" s="4" t="s">
        <v>10</v>
      </c>
      <c r="F2" s="5" t="s">
        <v>11</v>
      </c>
      <c r="G2" s="3" t="s">
        <v>9</v>
      </c>
      <c r="H2" s="4" t="s">
        <v>10</v>
      </c>
      <c r="I2" s="5" t="s">
        <v>11</v>
      </c>
      <c r="J2" s="3" t="s">
        <v>12</v>
      </c>
      <c r="K2" s="4" t="s">
        <v>12</v>
      </c>
      <c r="L2" s="6" t="s">
        <v>11</v>
      </c>
      <c r="N2" s="19"/>
      <c r="O2" s="7" t="s">
        <v>12</v>
      </c>
      <c r="P2" s="4" t="s">
        <v>12</v>
      </c>
      <c r="Q2" s="5" t="s">
        <v>11</v>
      </c>
    </row>
    <row r="3" spans="1:17" ht="15" customHeight="1" thickBot="1" x14ac:dyDescent="0.35">
      <c r="A3" s="11">
        <v>0</v>
      </c>
      <c r="B3" s="1" t="s">
        <v>13</v>
      </c>
      <c r="C3" s="1">
        <v>1</v>
      </c>
      <c r="D3" s="1">
        <v>104</v>
      </c>
      <c r="E3" s="1">
        <v>79</v>
      </c>
      <c r="F3" s="1">
        <v>102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 t="shared" ref="J3:J43" si="0">IF(NOT(ISBLANK($A3)), ABS(G3-D3), "")</f>
        <v>#N/A</v>
      </c>
      <c r="K3" s="1" t="e">
        <f t="shared" ref="K3:K43" si="1">IF(NOT(ISBLANK($A3)), ABS(H3-E3), "")</f>
        <v>#N/A</v>
      </c>
      <c r="L3" s="1" t="e">
        <f t="shared" ref="L3:L43" si="2">IF(NOT(ISBLANK($A3)), ABS(I3-F3), "")</f>
        <v>#N/A</v>
      </c>
      <c r="N3" s="20"/>
      <c r="O3" s="8">
        <f>_xlfn.AGGREGATE(1,6,J3:J1048576)</f>
        <v>11.413793103448276</v>
      </c>
      <c r="P3" s="9">
        <f>_xlfn.AGGREGATE(1,6,K3:K1048576)</f>
        <v>7.9655172413793105</v>
      </c>
      <c r="Q3" s="10">
        <f>_xlfn.AGGREGATE(1,6,L3:L1048576)</f>
        <v>12.758620689655173</v>
      </c>
    </row>
    <row r="4" spans="1:17" x14ac:dyDescent="0.3">
      <c r="A4" s="11">
        <v>1</v>
      </c>
      <c r="B4" s="1" t="s">
        <v>13</v>
      </c>
      <c r="C4" s="1">
        <v>2</v>
      </c>
      <c r="D4" s="1">
        <v>114</v>
      </c>
      <c r="E4" s="1">
        <v>86</v>
      </c>
      <c r="F4" s="1">
        <v>94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 t="shared" si="0"/>
        <v>#N/A</v>
      </c>
      <c r="K4" s="1" t="e">
        <f t="shared" si="1"/>
        <v>#N/A</v>
      </c>
      <c r="L4" s="1" t="e">
        <f t="shared" si="2"/>
        <v>#N/A</v>
      </c>
    </row>
    <row r="5" spans="1:17" x14ac:dyDescent="0.3">
      <c r="A5" s="11">
        <v>2</v>
      </c>
      <c r="B5" s="1" t="s">
        <v>13</v>
      </c>
      <c r="C5" s="1">
        <v>3</v>
      </c>
      <c r="D5" s="1">
        <v>123</v>
      </c>
      <c r="E5" s="1">
        <v>107</v>
      </c>
      <c r="F5" s="1">
        <v>96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 t="shared" si="0"/>
        <v>#N/A</v>
      </c>
      <c r="K5" s="1" t="e">
        <f t="shared" si="1"/>
        <v>#N/A</v>
      </c>
      <c r="L5" s="1" t="e">
        <f t="shared" si="2"/>
        <v>#N/A</v>
      </c>
    </row>
    <row r="6" spans="1:17" x14ac:dyDescent="0.3">
      <c r="A6" s="11">
        <v>3</v>
      </c>
      <c r="B6" s="1" t="s">
        <v>13</v>
      </c>
      <c r="C6" s="1">
        <v>4</v>
      </c>
      <c r="D6" s="1">
        <v>126</v>
      </c>
      <c r="E6" s="1">
        <v>101</v>
      </c>
      <c r="F6" s="1">
        <v>100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 t="shared" si="0"/>
        <v>#N/A</v>
      </c>
      <c r="K6" s="1" t="e">
        <f t="shared" si="1"/>
        <v>#N/A</v>
      </c>
      <c r="L6" s="1" t="e">
        <f t="shared" si="2"/>
        <v>#N/A</v>
      </c>
    </row>
    <row r="7" spans="1:17" x14ac:dyDescent="0.3">
      <c r="A7" s="11">
        <v>4</v>
      </c>
      <c r="B7" s="1" t="s">
        <v>13</v>
      </c>
      <c r="C7" s="1">
        <v>5</v>
      </c>
      <c r="D7" s="1">
        <v>110</v>
      </c>
      <c r="E7" s="1">
        <v>87</v>
      </c>
      <c r="F7" s="1">
        <v>72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 t="shared" si="0"/>
        <v>#N/A</v>
      </c>
      <c r="K7" s="1" t="e">
        <f t="shared" si="1"/>
        <v>#N/A</v>
      </c>
      <c r="L7" s="1" t="e">
        <f t="shared" si="2"/>
        <v>#N/A</v>
      </c>
    </row>
    <row r="8" spans="1:17" x14ac:dyDescent="0.3">
      <c r="A8" s="11">
        <v>5</v>
      </c>
      <c r="B8" s="1" t="s">
        <v>13</v>
      </c>
      <c r="C8" s="1">
        <v>6</v>
      </c>
      <c r="D8" s="1">
        <v>133</v>
      </c>
      <c r="E8" s="1">
        <v>87</v>
      </c>
      <c r="F8" s="1">
        <v>76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 t="shared" si="0"/>
        <v>#N/A</v>
      </c>
      <c r="K8" s="1" t="e">
        <f t="shared" si="1"/>
        <v>#N/A</v>
      </c>
      <c r="L8" s="1" t="e">
        <f t="shared" si="2"/>
        <v>#N/A</v>
      </c>
    </row>
    <row r="9" spans="1:17" x14ac:dyDescent="0.3">
      <c r="A9" s="11">
        <v>6</v>
      </c>
      <c r="B9" s="1" t="s">
        <v>13</v>
      </c>
      <c r="C9" s="1">
        <v>7</v>
      </c>
      <c r="D9" s="1">
        <v>126</v>
      </c>
      <c r="E9" s="1">
        <v>84</v>
      </c>
      <c r="F9" s="1">
        <v>76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 t="shared" si="0"/>
        <v>#N/A</v>
      </c>
      <c r="K9" s="1" t="e">
        <f t="shared" si="1"/>
        <v>#N/A</v>
      </c>
      <c r="L9" s="1" t="e">
        <f t="shared" si="2"/>
        <v>#N/A</v>
      </c>
    </row>
    <row r="10" spans="1:17" x14ac:dyDescent="0.3">
      <c r="A10" s="11">
        <v>7</v>
      </c>
      <c r="B10" s="1" t="s">
        <v>13</v>
      </c>
      <c r="C10" s="1">
        <v>8</v>
      </c>
      <c r="D10" s="1">
        <v>117</v>
      </c>
      <c r="E10" s="1">
        <v>86</v>
      </c>
      <c r="F10" s="1">
        <v>79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 t="shared" si="0"/>
        <v>#N/A</v>
      </c>
      <c r="K10" s="1" t="e">
        <f t="shared" si="1"/>
        <v>#N/A</v>
      </c>
      <c r="L10" s="1" t="e">
        <f t="shared" si="2"/>
        <v>#N/A</v>
      </c>
    </row>
    <row r="11" spans="1:17" x14ac:dyDescent="0.3">
      <c r="A11" s="11">
        <v>8</v>
      </c>
      <c r="B11" s="1" t="s">
        <v>13</v>
      </c>
      <c r="C11" s="1">
        <v>9</v>
      </c>
      <c r="D11" s="1">
        <v>130</v>
      </c>
      <c r="E11" s="1">
        <v>80</v>
      </c>
      <c r="F11" s="1">
        <v>75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 t="shared" si="0"/>
        <v>#N/A</v>
      </c>
      <c r="K11" s="1" t="e">
        <f t="shared" si="1"/>
        <v>#N/A</v>
      </c>
      <c r="L11" s="1" t="e">
        <f t="shared" si="2"/>
        <v>#N/A</v>
      </c>
    </row>
    <row r="12" spans="1:17" x14ac:dyDescent="0.3">
      <c r="A12" s="11">
        <v>9</v>
      </c>
      <c r="B12" s="1" t="s">
        <v>13</v>
      </c>
      <c r="C12" s="1">
        <v>10</v>
      </c>
      <c r="D12" s="1">
        <v>134</v>
      </c>
      <c r="E12" s="1">
        <v>94</v>
      </c>
      <c r="F12" s="1">
        <v>74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 t="shared" si="0"/>
        <v>#N/A</v>
      </c>
      <c r="K12" s="1" t="e">
        <f t="shared" si="1"/>
        <v>#N/A</v>
      </c>
      <c r="L12" s="1" t="e">
        <f t="shared" si="2"/>
        <v>#N/A</v>
      </c>
    </row>
    <row r="13" spans="1:17" x14ac:dyDescent="0.3">
      <c r="A13" s="11">
        <v>10</v>
      </c>
      <c r="B13" s="1" t="s">
        <v>13</v>
      </c>
      <c r="C13" s="1">
        <v>11</v>
      </c>
      <c r="D13" s="1" t="e">
        <f>NA()</f>
        <v>#N/A</v>
      </c>
      <c r="E13" s="1" t="e">
        <f>NA()</f>
        <v>#N/A</v>
      </c>
      <c r="F13" s="1" t="e">
        <f>NA()</f>
        <v>#N/A</v>
      </c>
      <c r="G13" s="1">
        <v>126</v>
      </c>
      <c r="H13" s="1">
        <v>85</v>
      </c>
      <c r="I13" s="1">
        <v>71</v>
      </c>
      <c r="J13" s="1" t="e">
        <f t="shared" si="0"/>
        <v>#N/A</v>
      </c>
      <c r="K13" s="1" t="e">
        <f t="shared" si="1"/>
        <v>#N/A</v>
      </c>
      <c r="L13" s="1" t="e">
        <f t="shared" si="2"/>
        <v>#N/A</v>
      </c>
    </row>
    <row r="14" spans="1:17" x14ac:dyDescent="0.3">
      <c r="A14" s="11">
        <v>11</v>
      </c>
      <c r="B14" s="1" t="s">
        <v>13</v>
      </c>
      <c r="C14" s="1">
        <v>12</v>
      </c>
      <c r="D14" s="1">
        <v>124</v>
      </c>
      <c r="E14" s="1">
        <v>73</v>
      </c>
      <c r="F14" s="1">
        <v>65</v>
      </c>
      <c r="G14" s="1">
        <v>120</v>
      </c>
      <c r="H14" s="1">
        <v>74</v>
      </c>
      <c r="I14" s="1">
        <v>66</v>
      </c>
      <c r="J14" s="1">
        <f t="shared" si="0"/>
        <v>4</v>
      </c>
      <c r="K14" s="1">
        <f t="shared" si="1"/>
        <v>1</v>
      </c>
      <c r="L14" s="1">
        <f t="shared" si="2"/>
        <v>1</v>
      </c>
    </row>
    <row r="15" spans="1:17" x14ac:dyDescent="0.3">
      <c r="A15" s="11">
        <v>12</v>
      </c>
      <c r="B15" s="1" t="s">
        <v>13</v>
      </c>
      <c r="C15" s="1">
        <v>13</v>
      </c>
      <c r="D15" s="1">
        <v>120</v>
      </c>
      <c r="E15" s="1">
        <v>63</v>
      </c>
      <c r="F15" s="1">
        <v>73</v>
      </c>
      <c r="G15" s="1">
        <v>135</v>
      </c>
      <c r="H15" s="1">
        <v>69</v>
      </c>
      <c r="I15" s="1">
        <v>66</v>
      </c>
      <c r="J15" s="1">
        <f t="shared" si="0"/>
        <v>15</v>
      </c>
      <c r="K15" s="1">
        <f t="shared" si="1"/>
        <v>6</v>
      </c>
      <c r="L15" s="1">
        <f t="shared" si="2"/>
        <v>7</v>
      </c>
    </row>
    <row r="16" spans="1:17" x14ac:dyDescent="0.3">
      <c r="A16" s="11">
        <v>13</v>
      </c>
      <c r="B16" s="1" t="s">
        <v>13</v>
      </c>
      <c r="C16" s="1">
        <v>14</v>
      </c>
      <c r="D16" s="1" t="e">
        <f>NA()</f>
        <v>#N/A</v>
      </c>
      <c r="E16" s="1" t="e">
        <f>NA()</f>
        <v>#N/A</v>
      </c>
      <c r="F16" s="1" t="e">
        <f>NA()</f>
        <v>#N/A</v>
      </c>
      <c r="G16" s="1">
        <v>117</v>
      </c>
      <c r="H16" s="1">
        <v>70</v>
      </c>
      <c r="I16" s="1">
        <v>67</v>
      </c>
      <c r="J16" s="1" t="e">
        <f t="shared" si="0"/>
        <v>#N/A</v>
      </c>
      <c r="K16" s="1" t="e">
        <f t="shared" si="1"/>
        <v>#N/A</v>
      </c>
      <c r="L16" s="1" t="e">
        <f t="shared" si="2"/>
        <v>#N/A</v>
      </c>
    </row>
    <row r="17" spans="1:14" x14ac:dyDescent="0.3">
      <c r="A17" s="11">
        <v>14</v>
      </c>
      <c r="B17" s="1" t="s">
        <v>13</v>
      </c>
      <c r="C17" s="1">
        <v>15</v>
      </c>
      <c r="D17" s="1">
        <v>119</v>
      </c>
      <c r="E17" s="1">
        <v>63</v>
      </c>
      <c r="F17" s="1">
        <v>76</v>
      </c>
      <c r="G17" s="1">
        <v>123</v>
      </c>
      <c r="H17" s="1">
        <v>74</v>
      </c>
      <c r="I17" s="1">
        <v>70</v>
      </c>
      <c r="J17" s="1">
        <f t="shared" si="0"/>
        <v>4</v>
      </c>
      <c r="K17" s="1">
        <f t="shared" si="1"/>
        <v>11</v>
      </c>
      <c r="L17" s="1">
        <f t="shared" si="2"/>
        <v>6</v>
      </c>
    </row>
    <row r="18" spans="1:14" x14ac:dyDescent="0.3">
      <c r="A18" s="11">
        <v>15</v>
      </c>
      <c r="B18" s="1" t="s">
        <v>13</v>
      </c>
      <c r="C18" s="1">
        <v>16</v>
      </c>
      <c r="D18" s="1">
        <v>125</v>
      </c>
      <c r="E18" s="1">
        <v>67</v>
      </c>
      <c r="F18" s="1">
        <v>75</v>
      </c>
      <c r="G18" s="1">
        <v>134</v>
      </c>
      <c r="H18" s="1">
        <v>78</v>
      </c>
      <c r="I18" s="1">
        <v>70</v>
      </c>
      <c r="J18" s="1">
        <f t="shared" si="0"/>
        <v>9</v>
      </c>
      <c r="K18" s="1">
        <f t="shared" si="1"/>
        <v>11</v>
      </c>
      <c r="L18" s="1">
        <f t="shared" si="2"/>
        <v>5</v>
      </c>
    </row>
    <row r="19" spans="1:14" x14ac:dyDescent="0.3">
      <c r="A19" s="11">
        <v>16</v>
      </c>
      <c r="B19" s="1" t="s">
        <v>13</v>
      </c>
      <c r="C19" s="1">
        <v>17</v>
      </c>
      <c r="D19" s="1">
        <v>131</v>
      </c>
      <c r="E19" s="1">
        <v>76</v>
      </c>
      <c r="F19" s="1">
        <v>74</v>
      </c>
      <c r="G19" s="1">
        <v>136</v>
      </c>
      <c r="H19" s="1">
        <v>79</v>
      </c>
      <c r="I19" s="1">
        <v>69</v>
      </c>
      <c r="J19" s="1">
        <f t="shared" si="0"/>
        <v>5</v>
      </c>
      <c r="K19" s="1">
        <f t="shared" si="1"/>
        <v>3</v>
      </c>
      <c r="L19" s="1">
        <f t="shared" si="2"/>
        <v>5</v>
      </c>
    </row>
    <row r="20" spans="1:14" x14ac:dyDescent="0.3">
      <c r="A20" s="11">
        <v>17</v>
      </c>
      <c r="B20" s="1" t="s">
        <v>13</v>
      </c>
      <c r="C20" s="1">
        <v>18</v>
      </c>
      <c r="D20" s="1">
        <v>133</v>
      </c>
      <c r="E20" s="1">
        <v>82</v>
      </c>
      <c r="F20" s="1">
        <v>98</v>
      </c>
      <c r="G20" s="1">
        <v>135</v>
      </c>
      <c r="H20" s="1">
        <v>81</v>
      </c>
      <c r="I20" s="1">
        <v>79</v>
      </c>
      <c r="J20" s="1">
        <f t="shared" si="0"/>
        <v>2</v>
      </c>
      <c r="K20" s="1">
        <f t="shared" si="1"/>
        <v>1</v>
      </c>
      <c r="L20" s="1">
        <f t="shared" si="2"/>
        <v>19</v>
      </c>
    </row>
    <row r="21" spans="1:14" x14ac:dyDescent="0.3">
      <c r="A21" s="11">
        <v>18</v>
      </c>
      <c r="B21" s="1" t="s">
        <v>13</v>
      </c>
      <c r="C21" s="1">
        <v>19</v>
      </c>
      <c r="D21" s="1">
        <v>127</v>
      </c>
      <c r="E21" s="1">
        <v>89</v>
      </c>
      <c r="F21" s="1">
        <v>75</v>
      </c>
      <c r="G21" s="1">
        <v>144</v>
      </c>
      <c r="H21" s="1">
        <v>86</v>
      </c>
      <c r="I21" s="1">
        <v>78</v>
      </c>
      <c r="J21" s="1">
        <f t="shared" si="0"/>
        <v>17</v>
      </c>
      <c r="K21" s="1">
        <f t="shared" si="1"/>
        <v>3</v>
      </c>
      <c r="L21" s="1">
        <f t="shared" si="2"/>
        <v>3</v>
      </c>
    </row>
    <row r="22" spans="1:14" x14ac:dyDescent="0.3">
      <c r="A22" s="11">
        <v>19</v>
      </c>
      <c r="B22" s="1" t="s">
        <v>13</v>
      </c>
      <c r="C22" s="1">
        <v>20</v>
      </c>
      <c r="D22" s="1">
        <v>122</v>
      </c>
      <c r="E22" s="1">
        <v>91</v>
      </c>
      <c r="F22" s="1">
        <v>84</v>
      </c>
      <c r="G22" s="1">
        <v>131</v>
      </c>
      <c r="H22" s="1">
        <v>77</v>
      </c>
      <c r="I22" s="1">
        <v>72</v>
      </c>
      <c r="J22" s="1">
        <f t="shared" si="0"/>
        <v>9</v>
      </c>
      <c r="K22" s="1">
        <f t="shared" si="1"/>
        <v>14</v>
      </c>
      <c r="L22" s="1">
        <f t="shared" si="2"/>
        <v>12</v>
      </c>
    </row>
    <row r="23" spans="1:14" x14ac:dyDescent="0.3">
      <c r="A23" s="11">
        <v>20</v>
      </c>
      <c r="B23" s="1" t="s">
        <v>13</v>
      </c>
      <c r="C23" s="1">
        <v>21</v>
      </c>
      <c r="D23" s="1">
        <v>119</v>
      </c>
      <c r="E23" s="1">
        <v>80</v>
      </c>
      <c r="F23" s="1">
        <v>78</v>
      </c>
      <c r="G23" s="1">
        <v>130</v>
      </c>
      <c r="H23" s="1">
        <v>85</v>
      </c>
      <c r="I23" s="1">
        <v>67</v>
      </c>
      <c r="J23" s="1">
        <f t="shared" si="0"/>
        <v>11</v>
      </c>
      <c r="K23" s="1">
        <f t="shared" si="1"/>
        <v>5</v>
      </c>
      <c r="L23" s="1">
        <f t="shared" si="2"/>
        <v>11</v>
      </c>
      <c r="N23" s="2"/>
    </row>
    <row r="24" spans="1:14" x14ac:dyDescent="0.3">
      <c r="A24" s="11">
        <v>21</v>
      </c>
      <c r="B24" s="1" t="s">
        <v>13</v>
      </c>
      <c r="C24" s="1">
        <v>22</v>
      </c>
      <c r="D24" s="1">
        <v>119</v>
      </c>
      <c r="E24" s="1">
        <v>84</v>
      </c>
      <c r="F24" s="1">
        <v>81</v>
      </c>
      <c r="G24" s="1">
        <v>131</v>
      </c>
      <c r="H24" s="1">
        <v>86</v>
      </c>
      <c r="I24" s="1">
        <v>68</v>
      </c>
      <c r="J24" s="1">
        <f t="shared" si="0"/>
        <v>12</v>
      </c>
      <c r="K24" s="1">
        <f t="shared" si="1"/>
        <v>2</v>
      </c>
      <c r="L24" s="1">
        <f t="shared" si="2"/>
        <v>13</v>
      </c>
    </row>
    <row r="25" spans="1:14" x14ac:dyDescent="0.3">
      <c r="A25" s="11">
        <v>22</v>
      </c>
      <c r="B25" s="1" t="s">
        <v>13</v>
      </c>
      <c r="C25" s="1">
        <v>23</v>
      </c>
      <c r="D25" s="1">
        <v>152</v>
      </c>
      <c r="E25" s="1">
        <v>90</v>
      </c>
      <c r="F25" s="1">
        <v>89</v>
      </c>
      <c r="G25" s="1">
        <v>127</v>
      </c>
      <c r="H25" s="1">
        <v>82</v>
      </c>
      <c r="I25" s="1">
        <v>61</v>
      </c>
      <c r="J25" s="1">
        <f t="shared" si="0"/>
        <v>25</v>
      </c>
      <c r="K25" s="1">
        <f t="shared" si="1"/>
        <v>8</v>
      </c>
      <c r="L25" s="1">
        <f t="shared" si="2"/>
        <v>28</v>
      </c>
    </row>
    <row r="26" spans="1:14" x14ac:dyDescent="0.3">
      <c r="A26" s="11">
        <v>23</v>
      </c>
      <c r="B26" s="1" t="s">
        <v>13</v>
      </c>
      <c r="C26" s="1">
        <v>24</v>
      </c>
      <c r="D26" s="1">
        <v>124</v>
      </c>
      <c r="E26" s="1">
        <v>83</v>
      </c>
      <c r="F26" s="1">
        <v>77</v>
      </c>
      <c r="G26" s="1">
        <v>132</v>
      </c>
      <c r="H26" s="1">
        <v>80</v>
      </c>
      <c r="I26" s="1">
        <v>57</v>
      </c>
      <c r="J26" s="1">
        <f t="shared" si="0"/>
        <v>8</v>
      </c>
      <c r="K26" s="1">
        <f t="shared" si="1"/>
        <v>3</v>
      </c>
      <c r="L26" s="1">
        <f t="shared" si="2"/>
        <v>20</v>
      </c>
    </row>
    <row r="27" spans="1:14" x14ac:dyDescent="0.3">
      <c r="A27" s="11">
        <v>24</v>
      </c>
      <c r="B27" s="1" t="s">
        <v>13</v>
      </c>
      <c r="C27" s="1">
        <v>25</v>
      </c>
      <c r="D27" s="1">
        <v>133</v>
      </c>
      <c r="E27" s="1">
        <v>94</v>
      </c>
      <c r="F27" s="1">
        <v>78</v>
      </c>
      <c r="G27" s="1">
        <v>129</v>
      </c>
      <c r="H27" s="1">
        <v>80</v>
      </c>
      <c r="I27" s="1">
        <v>64</v>
      </c>
      <c r="J27" s="1">
        <f t="shared" si="0"/>
        <v>4</v>
      </c>
      <c r="K27" s="1">
        <f t="shared" si="1"/>
        <v>14</v>
      </c>
      <c r="L27" s="1">
        <f t="shared" si="2"/>
        <v>14</v>
      </c>
    </row>
    <row r="28" spans="1:14" x14ac:dyDescent="0.3">
      <c r="A28" s="11">
        <v>25</v>
      </c>
      <c r="B28" s="1" t="s">
        <v>13</v>
      </c>
      <c r="C28" s="1">
        <v>26</v>
      </c>
      <c r="D28" s="1">
        <v>120</v>
      </c>
      <c r="E28" s="1">
        <v>81</v>
      </c>
      <c r="F28" s="1">
        <v>125</v>
      </c>
      <c r="G28" s="1">
        <v>120</v>
      </c>
      <c r="H28" s="1">
        <v>82</v>
      </c>
      <c r="I28" s="1">
        <v>104</v>
      </c>
      <c r="J28" s="1">
        <f t="shared" si="0"/>
        <v>0</v>
      </c>
      <c r="K28" s="1">
        <f t="shared" si="1"/>
        <v>1</v>
      </c>
      <c r="L28" s="1">
        <f t="shared" si="2"/>
        <v>21</v>
      </c>
    </row>
    <row r="29" spans="1:14" x14ac:dyDescent="0.3">
      <c r="A29" s="11">
        <v>26</v>
      </c>
      <c r="B29" s="1" t="s">
        <v>13</v>
      </c>
      <c r="C29" s="1">
        <v>27</v>
      </c>
      <c r="D29" s="1">
        <v>148</v>
      </c>
      <c r="E29" s="1">
        <v>81</v>
      </c>
      <c r="F29" s="1">
        <v>126</v>
      </c>
      <c r="G29" s="1">
        <v>123</v>
      </c>
      <c r="H29" s="1">
        <v>77</v>
      </c>
      <c r="I29" s="1">
        <v>108</v>
      </c>
      <c r="J29" s="1">
        <f t="shared" si="0"/>
        <v>25</v>
      </c>
      <c r="K29" s="1">
        <f t="shared" si="1"/>
        <v>4</v>
      </c>
      <c r="L29" s="1">
        <f t="shared" si="2"/>
        <v>18</v>
      </c>
    </row>
    <row r="30" spans="1:14" x14ac:dyDescent="0.3">
      <c r="A30" s="11">
        <v>27</v>
      </c>
      <c r="B30" s="1" t="s">
        <v>13</v>
      </c>
      <c r="C30" s="1">
        <v>28</v>
      </c>
      <c r="D30" s="1">
        <v>117</v>
      </c>
      <c r="E30" s="1">
        <v>83</v>
      </c>
      <c r="F30" s="1">
        <v>94</v>
      </c>
      <c r="G30" s="1">
        <v>102</v>
      </c>
      <c r="H30" s="1">
        <v>72</v>
      </c>
      <c r="I30" s="1">
        <v>79</v>
      </c>
      <c r="J30" s="1">
        <f t="shared" si="0"/>
        <v>15</v>
      </c>
      <c r="K30" s="1">
        <f t="shared" si="1"/>
        <v>11</v>
      </c>
      <c r="L30" s="1">
        <f t="shared" si="2"/>
        <v>15</v>
      </c>
    </row>
    <row r="31" spans="1:14" x14ac:dyDescent="0.3">
      <c r="A31" s="11">
        <v>28</v>
      </c>
      <c r="B31" s="1" t="s">
        <v>14</v>
      </c>
      <c r="C31" s="1">
        <v>1</v>
      </c>
      <c r="D31" s="1">
        <v>131</v>
      </c>
      <c r="E31" s="1">
        <v>83</v>
      </c>
      <c r="F31" s="1">
        <v>78</v>
      </c>
      <c r="G31" s="1">
        <v>134</v>
      </c>
      <c r="H31" s="1">
        <v>85</v>
      </c>
      <c r="I31" s="1">
        <v>64</v>
      </c>
      <c r="J31" s="1">
        <f t="shared" si="0"/>
        <v>3</v>
      </c>
      <c r="K31" s="1">
        <f t="shared" si="1"/>
        <v>2</v>
      </c>
      <c r="L31" s="1">
        <f t="shared" si="2"/>
        <v>14</v>
      </c>
    </row>
    <row r="32" spans="1:14" x14ac:dyDescent="0.3">
      <c r="A32" s="14">
        <v>29</v>
      </c>
      <c r="B32" s="1" t="s">
        <v>15</v>
      </c>
      <c r="C32" s="1">
        <v>1</v>
      </c>
      <c r="D32" s="1">
        <v>99</v>
      </c>
      <c r="E32" s="1">
        <v>68</v>
      </c>
      <c r="F32" s="1">
        <v>70</v>
      </c>
      <c r="G32" s="1">
        <v>119</v>
      </c>
      <c r="H32" s="1">
        <v>59</v>
      </c>
      <c r="I32" s="1">
        <v>62</v>
      </c>
      <c r="J32" s="1">
        <f t="shared" si="0"/>
        <v>20</v>
      </c>
      <c r="K32" s="1">
        <f t="shared" si="1"/>
        <v>9</v>
      </c>
      <c r="L32" s="1">
        <f t="shared" si="2"/>
        <v>8</v>
      </c>
    </row>
    <row r="33" spans="1:12" x14ac:dyDescent="0.3">
      <c r="A33" s="11">
        <v>30</v>
      </c>
      <c r="B33" s="1" t="s">
        <v>16</v>
      </c>
      <c r="C33" s="1">
        <v>1</v>
      </c>
      <c r="D33" s="1">
        <v>117</v>
      </c>
      <c r="E33" s="1">
        <v>93</v>
      </c>
      <c r="F33" s="1">
        <v>75</v>
      </c>
      <c r="G33" s="1">
        <v>105</v>
      </c>
      <c r="H33" s="1">
        <v>74</v>
      </c>
      <c r="I33" s="1">
        <v>60</v>
      </c>
      <c r="J33" s="1">
        <f t="shared" si="0"/>
        <v>12</v>
      </c>
      <c r="K33" s="1">
        <f t="shared" si="1"/>
        <v>19</v>
      </c>
      <c r="L33" s="1">
        <f t="shared" si="2"/>
        <v>15</v>
      </c>
    </row>
    <row r="34" spans="1:12" x14ac:dyDescent="0.3">
      <c r="A34" s="11">
        <v>31</v>
      </c>
      <c r="B34" s="1" t="s">
        <v>17</v>
      </c>
      <c r="C34" s="1">
        <v>1</v>
      </c>
      <c r="D34" s="1">
        <v>138</v>
      </c>
      <c r="E34" s="1">
        <v>97</v>
      </c>
      <c r="F34" s="1">
        <v>82</v>
      </c>
      <c r="G34" s="1">
        <v>119</v>
      </c>
      <c r="H34" s="1">
        <v>78</v>
      </c>
      <c r="I34" s="1">
        <v>80</v>
      </c>
      <c r="J34" s="1">
        <f t="shared" si="0"/>
        <v>19</v>
      </c>
      <c r="K34" s="1">
        <f t="shared" si="1"/>
        <v>19</v>
      </c>
      <c r="L34" s="1">
        <f t="shared" si="2"/>
        <v>2</v>
      </c>
    </row>
    <row r="35" spans="1:12" x14ac:dyDescent="0.3">
      <c r="A35" s="11">
        <v>32</v>
      </c>
      <c r="B35" s="1" t="s">
        <v>17</v>
      </c>
      <c r="C35" s="1">
        <v>2</v>
      </c>
      <c r="D35" s="1">
        <v>152</v>
      </c>
      <c r="E35" s="1">
        <v>85</v>
      </c>
      <c r="F35" s="1">
        <v>94</v>
      </c>
      <c r="G35" s="1">
        <v>120</v>
      </c>
      <c r="H35" s="1">
        <v>74</v>
      </c>
      <c r="I35" s="1">
        <v>68</v>
      </c>
      <c r="J35" s="1">
        <f t="shared" si="0"/>
        <v>32</v>
      </c>
      <c r="K35" s="1">
        <f t="shared" si="1"/>
        <v>11</v>
      </c>
      <c r="L35" s="1">
        <f t="shared" si="2"/>
        <v>26</v>
      </c>
    </row>
    <row r="36" spans="1:12" x14ac:dyDescent="0.3">
      <c r="A36" s="11">
        <v>33</v>
      </c>
      <c r="B36" s="1" t="s">
        <v>17</v>
      </c>
      <c r="C36" s="1">
        <v>3</v>
      </c>
      <c r="D36" s="1">
        <v>110</v>
      </c>
      <c r="E36" s="1">
        <v>74</v>
      </c>
      <c r="F36" s="1">
        <v>84</v>
      </c>
      <c r="G36" s="1">
        <v>114</v>
      </c>
      <c r="H36" s="1">
        <v>64</v>
      </c>
      <c r="I36" s="1">
        <v>71</v>
      </c>
      <c r="J36" s="1">
        <f t="shared" si="0"/>
        <v>4</v>
      </c>
      <c r="K36" s="1">
        <f t="shared" si="1"/>
        <v>10</v>
      </c>
      <c r="L36" s="1">
        <f t="shared" si="2"/>
        <v>13</v>
      </c>
    </row>
    <row r="37" spans="1:12" x14ac:dyDescent="0.3">
      <c r="A37" s="11">
        <v>34</v>
      </c>
      <c r="B37" s="1" t="s">
        <v>18</v>
      </c>
      <c r="C37" s="1">
        <v>1</v>
      </c>
      <c r="D37" s="1">
        <v>103</v>
      </c>
      <c r="E37" s="1">
        <v>76</v>
      </c>
      <c r="F37" s="1">
        <v>84</v>
      </c>
      <c r="G37" s="1">
        <v>116</v>
      </c>
      <c r="H37" s="1">
        <v>76</v>
      </c>
      <c r="I37" s="1">
        <v>64</v>
      </c>
      <c r="J37" s="1">
        <f t="shared" si="0"/>
        <v>13</v>
      </c>
      <c r="K37" s="1">
        <f t="shared" si="1"/>
        <v>0</v>
      </c>
      <c r="L37" s="1">
        <f t="shared" si="2"/>
        <v>20</v>
      </c>
    </row>
    <row r="38" spans="1:12" x14ac:dyDescent="0.3">
      <c r="A38" s="11">
        <v>35</v>
      </c>
      <c r="B38" s="1" t="s">
        <v>19</v>
      </c>
      <c r="C38" s="1">
        <v>1</v>
      </c>
      <c r="D38" s="1">
        <v>110</v>
      </c>
      <c r="E38" s="1">
        <v>75</v>
      </c>
      <c r="F38" s="1">
        <v>66</v>
      </c>
      <c r="G38" s="1">
        <v>116</v>
      </c>
      <c r="H38" s="1">
        <v>65</v>
      </c>
      <c r="I38" s="1">
        <v>54</v>
      </c>
      <c r="J38" s="1">
        <f t="shared" si="0"/>
        <v>6</v>
      </c>
      <c r="K38" s="1">
        <f t="shared" si="1"/>
        <v>10</v>
      </c>
      <c r="L38" s="1">
        <f t="shared" si="2"/>
        <v>12</v>
      </c>
    </row>
    <row r="39" spans="1:12" x14ac:dyDescent="0.3">
      <c r="A39" s="11">
        <v>36</v>
      </c>
      <c r="B39" s="1" t="s">
        <v>19</v>
      </c>
      <c r="C39" s="1">
        <v>2</v>
      </c>
      <c r="D39" s="1">
        <v>134</v>
      </c>
      <c r="E39" s="1">
        <v>45</v>
      </c>
      <c r="F39" s="1">
        <v>56</v>
      </c>
      <c r="G39" s="1">
        <v>124</v>
      </c>
      <c r="H39" s="1">
        <v>62</v>
      </c>
      <c r="I39" s="1">
        <v>51</v>
      </c>
      <c r="J39" s="1">
        <f t="shared" si="0"/>
        <v>10</v>
      </c>
      <c r="K39" s="1">
        <f t="shared" si="1"/>
        <v>17</v>
      </c>
      <c r="L39" s="1">
        <f t="shared" si="2"/>
        <v>5</v>
      </c>
    </row>
    <row r="40" spans="1:12" x14ac:dyDescent="0.3">
      <c r="A40" s="11">
        <v>37</v>
      </c>
      <c r="B40" s="1" t="s">
        <v>20</v>
      </c>
      <c r="C40" s="1">
        <v>1</v>
      </c>
      <c r="D40" s="1">
        <v>131</v>
      </c>
      <c r="E40" s="1">
        <v>81</v>
      </c>
      <c r="F40" s="1">
        <v>94</v>
      </c>
      <c r="G40" s="1">
        <v>110</v>
      </c>
      <c r="H40" s="1">
        <v>71</v>
      </c>
      <c r="I40" s="1">
        <v>74</v>
      </c>
      <c r="J40" s="1">
        <f t="shared" si="0"/>
        <v>21</v>
      </c>
      <c r="K40" s="1">
        <f t="shared" si="1"/>
        <v>10</v>
      </c>
      <c r="L40" s="1">
        <f t="shared" si="2"/>
        <v>20</v>
      </c>
    </row>
    <row r="41" spans="1:12" x14ac:dyDescent="0.3">
      <c r="A41" s="11">
        <v>38</v>
      </c>
      <c r="B41" s="1" t="s">
        <v>20</v>
      </c>
      <c r="C41" s="1">
        <v>2</v>
      </c>
      <c r="D41" s="1">
        <v>119</v>
      </c>
      <c r="E41" s="1">
        <v>63</v>
      </c>
      <c r="F41" s="1">
        <v>82</v>
      </c>
      <c r="G41" s="1">
        <v>107</v>
      </c>
      <c r="H41" s="1">
        <v>76</v>
      </c>
      <c r="I41" s="1">
        <v>72</v>
      </c>
      <c r="J41" s="1">
        <f t="shared" si="0"/>
        <v>12</v>
      </c>
      <c r="K41" s="1">
        <f t="shared" si="1"/>
        <v>13</v>
      </c>
      <c r="L41" s="1">
        <f t="shared" si="2"/>
        <v>10</v>
      </c>
    </row>
    <row r="42" spans="1:12" x14ac:dyDescent="0.3">
      <c r="A42" s="11">
        <v>39</v>
      </c>
      <c r="B42" s="1" t="s">
        <v>20</v>
      </c>
      <c r="C42" s="1">
        <v>3</v>
      </c>
      <c r="D42" s="1">
        <v>120</v>
      </c>
      <c r="E42" s="1">
        <v>72</v>
      </c>
      <c r="F42" s="1">
        <v>81</v>
      </c>
      <c r="G42" s="1">
        <v>109</v>
      </c>
      <c r="H42" s="1">
        <v>67</v>
      </c>
      <c r="I42" s="1">
        <v>71</v>
      </c>
      <c r="J42" s="1">
        <f t="shared" si="0"/>
        <v>11</v>
      </c>
      <c r="K42" s="1">
        <f t="shared" si="1"/>
        <v>5</v>
      </c>
      <c r="L42" s="1">
        <f t="shared" si="2"/>
        <v>10</v>
      </c>
    </row>
    <row r="43" spans="1:12" x14ac:dyDescent="0.3">
      <c r="A43" s="11">
        <v>40</v>
      </c>
      <c r="B43" s="1" t="s">
        <v>21</v>
      </c>
      <c r="C43" s="1">
        <v>1</v>
      </c>
      <c r="D43" s="1">
        <v>121</v>
      </c>
      <c r="E43" s="1">
        <v>85</v>
      </c>
      <c r="F43" s="1">
        <v>85</v>
      </c>
      <c r="G43" s="1">
        <v>118</v>
      </c>
      <c r="H43" s="1">
        <v>77</v>
      </c>
      <c r="I43" s="1">
        <v>68</v>
      </c>
      <c r="J43" s="1">
        <f t="shared" si="0"/>
        <v>3</v>
      </c>
      <c r="K43" s="1">
        <f t="shared" si="1"/>
        <v>8</v>
      </c>
      <c r="L43" s="1">
        <f t="shared" si="2"/>
        <v>17</v>
      </c>
    </row>
  </sheetData>
  <mergeCells count="6">
    <mergeCell ref="A1:A2"/>
    <mergeCell ref="N1:N3"/>
    <mergeCell ref="C1:C2"/>
    <mergeCell ref="B1:B2"/>
    <mergeCell ref="D1:F1"/>
    <mergeCell ref="G1:I1"/>
  </mergeCells>
  <conditionalFormatting sqref="A1:L1048576">
    <cfRule type="containsErrors" dxfId="26" priority="2">
      <formula>ISERROR(A1)</formula>
    </cfRule>
    <cfRule type="expression" dxfId="25" priority="6">
      <formula>ISBLANK(A1)</formula>
    </cfRule>
  </conditionalFormatting>
  <conditionalFormatting sqref="E3:E1048576 H3:H1048576 K3:K1048576">
    <cfRule type="notContainsBlanks" dxfId="24" priority="4">
      <formula>LEN(TRIM(E3))&gt;0</formula>
    </cfRule>
  </conditionalFormatting>
  <conditionalFormatting sqref="F3:F1048576 I3:I1048576 L3:L1048576">
    <cfRule type="notContainsBlanks" dxfId="23" priority="3">
      <formula>LEN(TRIM(F3))&gt;0</formula>
    </cfRule>
  </conditionalFormatting>
  <conditionalFormatting sqref="J3:L1048576 O3:Q3">
    <cfRule type="colorScale" priority="1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K3:L43 D3:D1048576 G3:G1048576 J3:J1048576">
    <cfRule type="notContainsBlanks" dxfId="22" priority="7">
      <formula>LEN(TRIM(D3))&gt;0</formula>
    </cfRule>
  </conditionalFormatting>
  <pageMargins left="0.7" right="0.7" top="0.75" bottom="0.75" header="0.3" footer="0.3"/>
  <pageSetup paperSize="9"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abSelected="1" workbookViewId="0">
      <selection activeCell="O5" sqref="O5"/>
    </sheetView>
  </sheetViews>
  <sheetFormatPr baseColWidth="10" defaultRowHeight="14.4" x14ac:dyDescent="0.3"/>
  <cols>
    <col min="1" max="1" width="10.77734375" style="1" customWidth="1"/>
    <col min="2" max="10" width="10.77734375" style="27" customWidth="1"/>
  </cols>
  <sheetData>
    <row r="1" spans="1:10" x14ac:dyDescent="0.3">
      <c r="A1" s="25" t="s">
        <v>1</v>
      </c>
      <c r="B1" s="21" t="s">
        <v>3</v>
      </c>
      <c r="C1" s="23"/>
      <c r="D1" s="24"/>
      <c r="E1" s="21" t="s">
        <v>4</v>
      </c>
      <c r="F1" s="23"/>
      <c r="G1" s="24"/>
      <c r="H1" s="15" t="s">
        <v>5</v>
      </c>
      <c r="I1" s="15" t="s">
        <v>6</v>
      </c>
      <c r="J1" s="17" t="s">
        <v>7</v>
      </c>
    </row>
    <row r="2" spans="1:10" ht="15" customHeight="1" thickBot="1" x14ac:dyDescent="0.35">
      <c r="A2" s="28"/>
      <c r="B2" s="3" t="s">
        <v>9</v>
      </c>
      <c r="C2" s="4" t="s">
        <v>10</v>
      </c>
      <c r="D2" s="5" t="s">
        <v>11</v>
      </c>
      <c r="E2" s="3" t="s">
        <v>9</v>
      </c>
      <c r="F2" s="4" t="s">
        <v>10</v>
      </c>
      <c r="G2" s="5" t="s">
        <v>11</v>
      </c>
      <c r="H2" s="3" t="s">
        <v>12</v>
      </c>
      <c r="I2" s="4" t="s">
        <v>12</v>
      </c>
      <c r="J2" s="6" t="s">
        <v>11</v>
      </c>
    </row>
    <row r="3" spans="1:10" x14ac:dyDescent="0.3">
      <c r="A3" s="1" t="s">
        <v>13</v>
      </c>
      <c r="B3" s="27">
        <v>125</v>
      </c>
      <c r="C3" s="27">
        <v>83.5</v>
      </c>
      <c r="D3" s="27">
        <v>85.07692307692308</v>
      </c>
      <c r="E3" s="27">
        <v>127.5</v>
      </c>
      <c r="F3" s="27">
        <v>78.722222222222229</v>
      </c>
      <c r="G3" s="27">
        <v>78.722222222222229</v>
      </c>
      <c r="H3" s="27">
        <f>IF(NOT(ISBLANK($A3)), ABS(E3-B3), "")</f>
        <v>2.5</v>
      </c>
      <c r="I3" s="27">
        <f t="shared" ref="I3:J3" si="0">IF(NOT(ISBLANK($A3)), ABS(F3-C3), "")</f>
        <v>4.7777777777777715</v>
      </c>
      <c r="J3" s="27">
        <f t="shared" si="0"/>
        <v>6.3547008547008517</v>
      </c>
    </row>
    <row r="4" spans="1:10" x14ac:dyDescent="0.3">
      <c r="A4" s="1" t="s">
        <v>14</v>
      </c>
      <c r="B4" s="27">
        <v>131</v>
      </c>
      <c r="C4" s="27">
        <v>83</v>
      </c>
      <c r="D4" s="27">
        <v>78</v>
      </c>
      <c r="E4" s="27">
        <v>134</v>
      </c>
      <c r="F4" s="27">
        <v>85</v>
      </c>
      <c r="G4" s="27">
        <v>85</v>
      </c>
      <c r="H4" s="27">
        <f t="shared" ref="H4:H11" si="1">IF(NOT(ISBLANK($A4)), ABS(E4-B4), "")</f>
        <v>3</v>
      </c>
      <c r="I4" s="27">
        <f t="shared" ref="I4:I11" si="2">IF(NOT(ISBLANK($A4)), ABS(F4-C4), "")</f>
        <v>2</v>
      </c>
      <c r="J4" s="27">
        <f t="shared" ref="J4:J11" si="3">IF(NOT(ISBLANK($A4)), ABS(G4-D4), "")</f>
        <v>7</v>
      </c>
    </row>
    <row r="5" spans="1:10" x14ac:dyDescent="0.3">
      <c r="A5" s="1" t="s">
        <v>15</v>
      </c>
      <c r="B5" s="27">
        <v>99</v>
      </c>
      <c r="C5" s="27">
        <v>68</v>
      </c>
      <c r="D5" s="27">
        <v>70</v>
      </c>
      <c r="E5" s="27">
        <v>119</v>
      </c>
      <c r="F5" s="27">
        <v>59</v>
      </c>
      <c r="G5" s="27">
        <v>59</v>
      </c>
      <c r="H5" s="27">
        <f t="shared" si="1"/>
        <v>20</v>
      </c>
      <c r="I5" s="27">
        <f t="shared" si="2"/>
        <v>9</v>
      </c>
      <c r="J5" s="27">
        <f t="shared" si="3"/>
        <v>11</v>
      </c>
    </row>
    <row r="6" spans="1:10" x14ac:dyDescent="0.3">
      <c r="A6" s="1" t="s">
        <v>16</v>
      </c>
      <c r="B6" s="27">
        <v>117</v>
      </c>
      <c r="C6" s="27">
        <v>93</v>
      </c>
      <c r="D6" s="27">
        <v>75</v>
      </c>
      <c r="E6" s="27">
        <v>105</v>
      </c>
      <c r="F6" s="27">
        <v>74</v>
      </c>
      <c r="G6" s="27">
        <v>74</v>
      </c>
      <c r="H6" s="27">
        <f t="shared" si="1"/>
        <v>12</v>
      </c>
      <c r="I6" s="27">
        <f t="shared" si="2"/>
        <v>19</v>
      </c>
      <c r="J6" s="27">
        <f t="shared" si="3"/>
        <v>1</v>
      </c>
    </row>
    <row r="7" spans="1:10" x14ac:dyDescent="0.3">
      <c r="A7" s="1" t="s">
        <v>17</v>
      </c>
      <c r="B7" s="27">
        <v>133.33333333333329</v>
      </c>
      <c r="C7" s="27">
        <v>85.333333333333329</v>
      </c>
      <c r="D7" s="27">
        <v>86.666666666666671</v>
      </c>
      <c r="E7" s="27">
        <v>117.6666666666667</v>
      </c>
      <c r="F7" s="27">
        <v>72</v>
      </c>
      <c r="G7" s="27">
        <v>72</v>
      </c>
      <c r="H7" s="27">
        <f t="shared" si="1"/>
        <v>15.666666666666586</v>
      </c>
      <c r="I7" s="27">
        <f t="shared" si="2"/>
        <v>13.333333333333329</v>
      </c>
      <c r="J7" s="27">
        <f t="shared" si="3"/>
        <v>14.666666666666671</v>
      </c>
    </row>
    <row r="8" spans="1:10" x14ac:dyDescent="0.3">
      <c r="A8" s="1" t="s">
        <v>18</v>
      </c>
      <c r="B8" s="27">
        <v>103</v>
      </c>
      <c r="C8" s="27">
        <v>76</v>
      </c>
      <c r="D8" s="27">
        <v>84</v>
      </c>
      <c r="E8" s="27">
        <v>116</v>
      </c>
      <c r="F8" s="27">
        <v>76</v>
      </c>
      <c r="G8" s="27">
        <v>76</v>
      </c>
      <c r="H8" s="27">
        <f t="shared" si="1"/>
        <v>13</v>
      </c>
      <c r="I8" s="27">
        <f t="shared" si="2"/>
        <v>0</v>
      </c>
      <c r="J8" s="27">
        <f t="shared" si="3"/>
        <v>8</v>
      </c>
    </row>
    <row r="9" spans="1:10" x14ac:dyDescent="0.3">
      <c r="A9" s="1" t="s">
        <v>19</v>
      </c>
      <c r="B9" s="27">
        <v>122</v>
      </c>
      <c r="C9" s="27">
        <v>60</v>
      </c>
      <c r="D9" s="27">
        <v>61</v>
      </c>
      <c r="E9" s="27">
        <v>120</v>
      </c>
      <c r="F9" s="27">
        <v>63.5</v>
      </c>
      <c r="G9" s="27">
        <v>63.5</v>
      </c>
      <c r="H9" s="27">
        <f t="shared" si="1"/>
        <v>2</v>
      </c>
      <c r="I9" s="27">
        <f t="shared" si="2"/>
        <v>3.5</v>
      </c>
      <c r="J9" s="27">
        <f t="shared" si="3"/>
        <v>2.5</v>
      </c>
    </row>
    <row r="10" spans="1:10" x14ac:dyDescent="0.3">
      <c r="A10" s="1" t="s">
        <v>20</v>
      </c>
      <c r="B10" s="27">
        <v>123.3333333333333</v>
      </c>
      <c r="C10" s="27">
        <v>72</v>
      </c>
      <c r="D10" s="27">
        <v>85.666666666666671</v>
      </c>
      <c r="E10" s="27">
        <v>108.6666666666667</v>
      </c>
      <c r="F10" s="27">
        <v>71.333333333333329</v>
      </c>
      <c r="G10" s="27">
        <v>71.333333333333329</v>
      </c>
      <c r="H10" s="27">
        <f t="shared" si="1"/>
        <v>14.6666666666666</v>
      </c>
      <c r="I10" s="27">
        <f t="shared" si="2"/>
        <v>0.6666666666666714</v>
      </c>
      <c r="J10" s="27">
        <f t="shared" si="3"/>
        <v>14.333333333333343</v>
      </c>
    </row>
    <row r="11" spans="1:10" x14ac:dyDescent="0.3">
      <c r="A11" s="1" t="s">
        <v>21</v>
      </c>
      <c r="B11" s="27">
        <v>121</v>
      </c>
      <c r="C11" s="27">
        <v>85</v>
      </c>
      <c r="D11" s="27">
        <v>85</v>
      </c>
      <c r="E11" s="27">
        <v>118</v>
      </c>
      <c r="F11" s="27">
        <v>77</v>
      </c>
      <c r="G11" s="27">
        <v>77</v>
      </c>
      <c r="H11" s="27">
        <f t="shared" si="1"/>
        <v>3</v>
      </c>
      <c r="I11" s="27">
        <f t="shared" si="2"/>
        <v>8</v>
      </c>
      <c r="J11" s="27">
        <f t="shared" si="3"/>
        <v>8</v>
      </c>
    </row>
  </sheetData>
  <mergeCells count="3">
    <mergeCell ref="B1:D1"/>
    <mergeCell ref="E1:G1"/>
    <mergeCell ref="A1:A2"/>
  </mergeCells>
  <conditionalFormatting sqref="A1:J2">
    <cfRule type="containsErrors" dxfId="4" priority="12">
      <formula>ISERROR(A1)</formula>
    </cfRule>
    <cfRule type="expression" dxfId="3" priority="13">
      <formula>ISBLANK(A1)</formula>
    </cfRule>
  </conditionalFormatting>
  <conditionalFormatting sqref="H3:J11">
    <cfRule type="colorScale" priority="8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B3:B1048576 E3:E1048576">
    <cfRule type="notContainsBlanks" dxfId="2" priority="7">
      <formula>LEN(TRIM(B3))&gt;0</formula>
    </cfRule>
  </conditionalFormatting>
  <conditionalFormatting sqref="C3:C1048576 F3:F1048576">
    <cfRule type="notContainsBlanks" dxfId="1" priority="3">
      <formula>LEN(TRIM(C3))&gt;0</formula>
    </cfRule>
  </conditionalFormatting>
  <conditionalFormatting sqref="D3:D1048576 G3:G1048576">
    <cfRule type="notContainsBlanks" dxfId="0" priority="2">
      <formula>LEN(TRIM(D3))&gt;0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BloodPressure</vt:lpstr>
      <vt:lpstr>BP_Subject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ANDRES SANCHEZ SILVA</cp:lastModifiedBy>
  <cp:lastPrinted>2025-05-16T17:06:21Z</cp:lastPrinted>
  <dcterms:created xsi:type="dcterms:W3CDTF">2015-06-05T18:17:20Z</dcterms:created>
  <dcterms:modified xsi:type="dcterms:W3CDTF">2025-05-20T01:53:03Z</dcterms:modified>
</cp:coreProperties>
</file>