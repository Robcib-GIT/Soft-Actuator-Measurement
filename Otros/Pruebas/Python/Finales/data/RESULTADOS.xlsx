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asans\Documents\UPM\TFM\Soft-Actuator-Measurement\Otros\Pruebas\Python\Finales\data\"/>
    </mc:Choice>
  </mc:AlternateContent>
  <xr:revisionPtr revIDLastSave="0" documentId="13_ncr:1_{DA7D32A7-CB5C-4973-BF15-0650203EC81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loodPressure_v1" sheetId="1" r:id="rId1"/>
    <sheet name="BloodPressure_v2" sheetId="2" r:id="rId2"/>
  </sheets>
  <calcPr calcId="181029"/>
</workbook>
</file>

<file path=xl/calcChain.xml><?xml version="1.0" encoding="utf-8"?>
<calcChain xmlns="http://schemas.openxmlformats.org/spreadsheetml/2006/main">
  <c r="J31" i="1" l="1"/>
  <c r="K31" i="1" s="1"/>
  <c r="F31" i="1"/>
  <c r="N31" i="1" s="1"/>
  <c r="O31" i="1" s="1"/>
  <c r="E31" i="1"/>
  <c r="L31" i="1" s="1"/>
  <c r="M31" i="1" s="1"/>
  <c r="D31" i="1"/>
  <c r="K30" i="1"/>
  <c r="J30" i="1"/>
  <c r="F30" i="1"/>
  <c r="N30" i="1" s="1"/>
  <c r="O30" i="1" s="1"/>
  <c r="E30" i="1"/>
  <c r="L30" i="1" s="1"/>
  <c r="M30" i="1" s="1"/>
  <c r="D30" i="1"/>
  <c r="N29" i="1"/>
  <c r="O29" i="1" s="1"/>
  <c r="L29" i="1"/>
  <c r="M29" i="1" s="1"/>
  <c r="J29" i="1"/>
  <c r="K29" i="1" s="1"/>
  <c r="J28" i="1"/>
  <c r="K28" i="1" s="1"/>
  <c r="F28" i="1"/>
  <c r="N28" i="1" s="1"/>
  <c r="O28" i="1" s="1"/>
  <c r="E28" i="1"/>
  <c r="L28" i="1" s="1"/>
  <c r="M28" i="1" s="1"/>
  <c r="D28" i="1"/>
  <c r="N27" i="1"/>
  <c r="O27" i="1" s="1"/>
  <c r="M27" i="1"/>
  <c r="L27" i="1"/>
  <c r="K27" i="1"/>
  <c r="J27" i="1"/>
  <c r="O26" i="1"/>
  <c r="N26" i="1"/>
  <c r="L26" i="1"/>
  <c r="M26" i="1" s="1"/>
  <c r="J26" i="1"/>
  <c r="K26" i="1" s="1"/>
  <c r="O25" i="1"/>
  <c r="N25" i="1"/>
  <c r="M25" i="1"/>
  <c r="L25" i="1"/>
  <c r="J25" i="1"/>
  <c r="K25" i="1" s="1"/>
  <c r="N24" i="1"/>
  <c r="O24" i="1" s="1"/>
  <c r="M24" i="1"/>
  <c r="L24" i="1"/>
  <c r="K24" i="1"/>
  <c r="J24" i="1"/>
  <c r="N23" i="1"/>
  <c r="O23" i="1" s="1"/>
  <c r="L23" i="1"/>
  <c r="M23" i="1" s="1"/>
  <c r="K23" i="1"/>
  <c r="J23" i="1"/>
  <c r="O22" i="1"/>
  <c r="N22" i="1"/>
  <c r="L22" i="1"/>
  <c r="M22" i="1" s="1"/>
  <c r="J22" i="1"/>
  <c r="K22" i="1" s="1"/>
  <c r="O21" i="1"/>
  <c r="N21" i="1"/>
  <c r="M21" i="1"/>
  <c r="L21" i="1"/>
  <c r="J21" i="1"/>
  <c r="K21" i="1" s="1"/>
  <c r="N20" i="1"/>
  <c r="O20" i="1" s="1"/>
  <c r="M20" i="1"/>
  <c r="L20" i="1"/>
  <c r="K20" i="1"/>
  <c r="J20" i="1"/>
  <c r="N19" i="1"/>
  <c r="O19" i="1" s="1"/>
  <c r="L19" i="1"/>
  <c r="M19" i="1" s="1"/>
  <c r="K19" i="1"/>
  <c r="J19" i="1"/>
  <c r="O18" i="1"/>
  <c r="N18" i="1"/>
  <c r="L18" i="1"/>
  <c r="M18" i="1" s="1"/>
  <c r="J18" i="1"/>
  <c r="K18" i="1" s="1"/>
  <c r="O17" i="1"/>
  <c r="N17" i="1"/>
  <c r="M17" i="1"/>
  <c r="L17" i="1"/>
  <c r="J17" i="1"/>
  <c r="K17" i="1" s="1"/>
  <c r="N16" i="1"/>
  <c r="O16" i="1" s="1"/>
  <c r="M16" i="1"/>
  <c r="L16" i="1"/>
  <c r="K16" i="1"/>
  <c r="J16" i="1"/>
  <c r="N15" i="1"/>
  <c r="O15" i="1" s="1"/>
  <c r="L15" i="1"/>
  <c r="M15" i="1" s="1"/>
  <c r="K15" i="1"/>
  <c r="J15" i="1"/>
  <c r="O14" i="1"/>
  <c r="N14" i="1"/>
  <c r="L14" i="1"/>
  <c r="M14" i="1" s="1"/>
  <c r="J14" i="1"/>
  <c r="K14" i="1" s="1"/>
  <c r="O13" i="1"/>
  <c r="N13" i="1"/>
  <c r="F13" i="1"/>
  <c r="E13" i="1"/>
  <c r="L13" i="1" s="1"/>
  <c r="M13" i="1" s="1"/>
  <c r="D13" i="1"/>
  <c r="J13" i="1" s="1"/>
  <c r="K13" i="1" s="1"/>
  <c r="N12" i="1"/>
  <c r="O12" i="1" s="1"/>
  <c r="I12" i="1"/>
  <c r="H12" i="1"/>
  <c r="L12" i="1" s="1"/>
  <c r="M12" i="1" s="1"/>
  <c r="G12" i="1"/>
  <c r="J12" i="1" s="1"/>
  <c r="K12" i="1" s="1"/>
  <c r="I11" i="1"/>
  <c r="N11" i="1" s="1"/>
  <c r="O11" i="1" s="1"/>
  <c r="H11" i="1"/>
  <c r="L11" i="1" s="1"/>
  <c r="M11" i="1" s="1"/>
  <c r="G11" i="1"/>
  <c r="J11" i="1" s="1"/>
  <c r="K11" i="1" s="1"/>
  <c r="J10" i="1"/>
  <c r="K10" i="1" s="1"/>
  <c r="I10" i="1"/>
  <c r="N10" i="1" s="1"/>
  <c r="O10" i="1" s="1"/>
  <c r="H10" i="1"/>
  <c r="L10" i="1" s="1"/>
  <c r="M10" i="1" s="1"/>
  <c r="G10" i="1"/>
  <c r="L9" i="1"/>
  <c r="M9" i="1" s="1"/>
  <c r="K9" i="1"/>
  <c r="J9" i="1"/>
  <c r="I9" i="1"/>
  <c r="N9" i="1" s="1"/>
  <c r="O9" i="1" s="1"/>
  <c r="H9" i="1"/>
  <c r="G9" i="1"/>
  <c r="L8" i="1"/>
  <c r="M8" i="1" s="1"/>
  <c r="J8" i="1"/>
  <c r="K8" i="1" s="1"/>
  <c r="I8" i="1"/>
  <c r="N8" i="1" s="1"/>
  <c r="O8" i="1" s="1"/>
  <c r="H8" i="1"/>
  <c r="G8" i="1"/>
  <c r="N7" i="1"/>
  <c r="O7" i="1" s="1"/>
  <c r="M7" i="1"/>
  <c r="L7" i="1"/>
  <c r="K7" i="1"/>
  <c r="J7" i="1"/>
  <c r="I7" i="1"/>
  <c r="H7" i="1"/>
  <c r="G7" i="1"/>
  <c r="N6" i="1"/>
  <c r="O6" i="1" s="1"/>
  <c r="L6" i="1"/>
  <c r="M6" i="1" s="1"/>
  <c r="I6" i="1"/>
  <c r="H6" i="1"/>
  <c r="G6" i="1"/>
  <c r="J6" i="1" s="1"/>
  <c r="K6" i="1" s="1"/>
  <c r="O5" i="1"/>
  <c r="N5" i="1"/>
  <c r="I5" i="1"/>
  <c r="H5" i="1"/>
  <c r="L5" i="1" s="1"/>
  <c r="M5" i="1" s="1"/>
  <c r="G5" i="1"/>
  <c r="J5" i="1" s="1"/>
  <c r="K5" i="1" s="1"/>
  <c r="N4" i="1"/>
  <c r="O4" i="1" s="1"/>
  <c r="I4" i="1"/>
  <c r="H4" i="1"/>
  <c r="L4" i="1" s="1"/>
  <c r="M4" i="1" s="1"/>
  <c r="G4" i="1"/>
  <c r="J4" i="1" s="1"/>
  <c r="K4" i="1" s="1"/>
  <c r="I3" i="1"/>
  <c r="N3" i="1" s="1"/>
  <c r="H3" i="1"/>
  <c r="L3" i="1" s="1"/>
  <c r="G3" i="1"/>
  <c r="J3" i="1" s="1"/>
  <c r="R3" i="1" l="1"/>
  <c r="K3" i="1"/>
  <c r="S3" i="1" s="1"/>
  <c r="T3" i="1"/>
  <c r="M3" i="1"/>
  <c r="U3" i="1" s="1"/>
  <c r="V3" i="1"/>
  <c r="O3" i="1"/>
  <c r="W3" i="1" s="1"/>
</calcChain>
</file>

<file path=xl/sharedStrings.xml><?xml version="1.0" encoding="utf-8"?>
<sst xmlns="http://schemas.openxmlformats.org/spreadsheetml/2006/main" count="70" uniqueCount="18">
  <si>
    <t>#</t>
  </si>
  <si>
    <t>SUJETO</t>
  </si>
  <si>
    <t>VERSIÓN</t>
  </si>
  <si>
    <t>SAM</t>
  </si>
  <si>
    <t>REAL</t>
  </si>
  <si>
    <t>∆ SYS</t>
  </si>
  <si>
    <t>∆ DIA</t>
  </si>
  <si>
    <t>∆ PPM</t>
  </si>
  <si>
    <t>TOTAL</t>
  </si>
  <si>
    <t>SYS</t>
  </si>
  <si>
    <t>DIA</t>
  </si>
  <si>
    <t>PPM</t>
  </si>
  <si>
    <t>mmHg</t>
  </si>
  <si>
    <t>%</t>
  </si>
  <si>
    <t>Andres</t>
  </si>
  <si>
    <t>Maez</t>
  </si>
  <si>
    <t>Pruebas</t>
  </si>
  <si>
    <t>Nº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</si>
</sst>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2" fillId="0" borderId="0"/>
    <xf numFmtId="9" fontId="2" fillId="0" borderId="0"/>
  </cellStyleXfs>
  <cellXfs count="3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6" borderId="8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6" borderId="7" xfId="0" applyFont="1" applyFill="1" applyBorder="1" applyAlignment="1">
      <alignment horizontal="center" vertical="center"/>
    </xf>
    <xf numFmtId="10" fontId="2" fillId="0" borderId="2" xfId="2" applyNumberFormat="1" applyBorder="1" applyAlignment="1">
      <alignment horizontal="center" vertical="center"/>
    </xf>
    <xf numFmtId="10" fontId="2" fillId="0" borderId="3" xfId="2" applyNumberFormat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" xfId="0" applyBorder="1"/>
    <xf numFmtId="0" fontId="1" fillId="0" borderId="6" xfId="0" applyFont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1" fillId="0" borderId="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9" fontId="0" fillId="0" borderId="0" xfId="2" applyFont="1" applyFill="1" applyBorder="1" applyAlignment="1">
      <alignment horizontal="center" vertical="center"/>
    </xf>
    <xf numFmtId="9" fontId="3" fillId="0" borderId="0" xfId="2" applyFont="1" applyFill="1" applyBorder="1" applyAlignment="1">
      <alignment horizontal="center" vertical="center"/>
    </xf>
    <xf numFmtId="164" fontId="2" fillId="0" borderId="10" xfId="1" applyNumberFormat="1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9" fontId="0" fillId="0" borderId="10" xfId="2" applyFont="1" applyFill="1" applyBorder="1" applyAlignment="1">
      <alignment horizontal="center" vertical="center"/>
    </xf>
    <xf numFmtId="164" fontId="2" fillId="0" borderId="4" xfId="1" applyNumberFormat="1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9" fontId="0" fillId="0" borderId="4" xfId="2" applyFont="1" applyFill="1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3" fillId="0" borderId="0" xfId="0" applyFont="1" applyFill="1" applyBorder="1" applyAlignment="1">
      <alignment horizontal="center" vertical="center"/>
    </xf>
  </cellXfs>
  <cellStyles count="3">
    <cellStyle name="Millares" xfId="1" builtinId="3"/>
    <cellStyle name="Normal" xfId="0" builtinId="0"/>
    <cellStyle name="Porcentaje" xfId="2" builtinId="5"/>
  </cellStyles>
  <dxfs count="18">
    <dxf>
      <fill>
        <patternFill>
          <bgColor theme="7" tint="0.59996337778862885"/>
        </patternFill>
      </fill>
    </dxf>
    <dxf>
      <fill>
        <patternFill>
          <fgColor theme="1"/>
          <bgColor theme="8" tint="0.79998168889431442"/>
        </patternFill>
      </fill>
      <border>
        <left/>
        <right/>
        <top/>
        <bottom/>
        <vertical/>
        <horizontal/>
      </border>
    </dxf>
    <dxf>
      <font>
        <strike val="0"/>
      </font>
      <fill>
        <patternFill>
          <bgColor theme="9" tint="0.59996337778862885"/>
        </patternFill>
      </fill>
      <border>
        <left style="thin">
          <color auto="1"/>
        </left>
        <right/>
        <top/>
        <bottom/>
        <vertical/>
        <horizontal/>
      </border>
    </dxf>
    <dxf>
      <fill>
        <patternFill patternType="darkUp">
          <fgColor rgb="FFFF0000"/>
          <bgColor auto="1"/>
        </patternFill>
      </fill>
    </dxf>
    <dxf>
      <fill>
        <patternFill>
          <fgColor indexed="64"/>
          <bgColor auto="1"/>
        </patternFill>
      </fill>
      <border>
        <left/>
        <right/>
        <top/>
        <bottom/>
      </border>
    </dxf>
    <dxf>
      <fill>
        <patternFill>
          <bgColor theme="7" tint="0.59996337778862885"/>
        </patternFill>
      </fill>
    </dxf>
    <dxf>
      <fill>
        <patternFill>
          <fgColor theme="1"/>
          <bgColor theme="8" tint="0.79998168889431442"/>
        </patternFill>
      </fill>
      <border>
        <left/>
        <right/>
        <top/>
        <bottom/>
        <vertical/>
        <horizontal/>
      </border>
    </dxf>
    <dxf>
      <font>
        <strike val="0"/>
      </font>
      <fill>
        <patternFill>
          <bgColor theme="9" tint="0.59996337778862885"/>
        </patternFill>
      </fill>
      <border>
        <left style="thin">
          <color auto="1"/>
        </left>
        <right/>
        <top/>
        <bottom/>
        <vertical/>
        <horizontal/>
      </border>
    </dxf>
    <dxf>
      <fill>
        <patternFill patternType="darkUp">
          <fgColor rgb="FFFF0000"/>
          <bgColor auto="1"/>
        </patternFill>
      </fill>
    </dxf>
    <dxf>
      <fill>
        <patternFill>
          <fgColor indexed="64"/>
          <bgColor auto="1"/>
        </patternFill>
      </fill>
      <border>
        <left/>
        <right/>
        <top/>
        <bottom/>
      </border>
    </dxf>
    <dxf>
      <fill>
        <patternFill>
          <bgColor theme="7" tint="0.59996337778862885"/>
        </patternFill>
      </fill>
    </dxf>
    <dxf>
      <fill>
        <patternFill>
          <fgColor theme="1"/>
          <bgColor theme="8" tint="0.79998168889431442"/>
        </patternFill>
      </fill>
      <border>
        <left/>
        <right/>
        <top/>
        <bottom/>
        <vertical/>
        <horizontal/>
      </border>
    </dxf>
    <dxf>
      <font>
        <strike val="0"/>
      </font>
      <fill>
        <patternFill>
          <bgColor theme="9" tint="0.59996337778862885"/>
        </patternFill>
      </fill>
      <border>
        <left style="thin">
          <color auto="1"/>
        </left>
        <vertical/>
        <horizontal/>
      </border>
    </dxf>
    <dxf>
      <fill>
        <patternFill patternType="darkUp">
          <fgColor rgb="FFFF0000"/>
          <bgColor auto="1"/>
        </patternFill>
      </fill>
    </dxf>
    <dxf>
      <fill>
        <patternFill>
          <fgColor indexed="64"/>
          <bgColor auto="1"/>
        </patternFill>
      </fill>
      <border>
        <left/>
        <right/>
        <top/>
        <bottom/>
      </border>
    </dxf>
    <dxf>
      <fill>
        <patternFill>
          <fgColor theme="1"/>
          <bgColor theme="8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7" tint="0.59996337778862885"/>
        </patternFill>
      </fill>
    </dxf>
    <dxf>
      <font>
        <strike val="0"/>
      </font>
      <fill>
        <patternFill>
          <bgColor theme="9" tint="0.59996337778862885"/>
        </patternFill>
      </fill>
      <border>
        <left style="thin">
          <color auto="1"/>
        </left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2"/>
  <sheetViews>
    <sheetView tabSelected="1" workbookViewId="0">
      <selection activeCell="Q11" sqref="Q11"/>
    </sheetView>
  </sheetViews>
  <sheetFormatPr baseColWidth="10" defaultColWidth="8.88671875" defaultRowHeight="14.4" x14ac:dyDescent="0.3"/>
  <cols>
    <col min="1" max="1" width="8.88671875" style="30" customWidth="1"/>
    <col min="2" max="10" width="8.88671875" style="31" customWidth="1"/>
    <col min="11" max="11" width="8.88671875" style="32" customWidth="1"/>
    <col min="12" max="12" width="11.33203125" style="31" bestFit="1" customWidth="1"/>
    <col min="13" max="13" width="11.33203125" style="32" customWidth="1"/>
    <col min="14" max="14" width="8.88671875" style="31" customWidth="1"/>
    <col min="15" max="15" width="8.88671875" style="32" customWidth="1"/>
  </cols>
  <sheetData>
    <row r="1" spans="1:23" ht="15" thickBot="1" x14ac:dyDescent="0.35">
      <c r="A1" s="20" t="s">
        <v>0</v>
      </c>
      <c r="B1" s="17" t="s">
        <v>1</v>
      </c>
      <c r="C1" s="17" t="s">
        <v>2</v>
      </c>
      <c r="D1" s="17" t="s">
        <v>3</v>
      </c>
      <c r="E1" s="19"/>
      <c r="F1" s="18"/>
      <c r="G1" s="17" t="s">
        <v>4</v>
      </c>
      <c r="H1" s="19"/>
      <c r="I1" s="18"/>
      <c r="J1" s="17" t="s">
        <v>5</v>
      </c>
      <c r="K1" s="18"/>
      <c r="L1" s="17" t="s">
        <v>6</v>
      </c>
      <c r="M1" s="18"/>
      <c r="N1" s="17" t="s">
        <v>7</v>
      </c>
      <c r="O1" s="33"/>
      <c r="Q1" s="14" t="s">
        <v>8</v>
      </c>
      <c r="R1" s="20" t="s">
        <v>5</v>
      </c>
      <c r="S1" s="18"/>
      <c r="T1" s="17" t="s">
        <v>6</v>
      </c>
      <c r="U1" s="18"/>
      <c r="V1" s="17" t="s">
        <v>7</v>
      </c>
      <c r="W1" s="18"/>
    </row>
    <row r="2" spans="1:23" ht="15" customHeight="1" thickBot="1" x14ac:dyDescent="0.35">
      <c r="A2" s="34"/>
      <c r="B2" s="35"/>
      <c r="C2" s="35"/>
      <c r="D2" s="4" t="s">
        <v>9</v>
      </c>
      <c r="E2" s="5" t="s">
        <v>10</v>
      </c>
      <c r="F2" s="6" t="s">
        <v>11</v>
      </c>
      <c r="G2" s="4" t="s">
        <v>9</v>
      </c>
      <c r="H2" s="5" t="s">
        <v>10</v>
      </c>
      <c r="I2" s="6" t="s">
        <v>11</v>
      </c>
      <c r="J2" s="4" t="s">
        <v>12</v>
      </c>
      <c r="K2" s="4" t="s">
        <v>13</v>
      </c>
      <c r="L2" s="5" t="s">
        <v>12</v>
      </c>
      <c r="M2" s="5" t="s">
        <v>13</v>
      </c>
      <c r="N2" s="6" t="s">
        <v>11</v>
      </c>
      <c r="O2" s="7" t="s">
        <v>13</v>
      </c>
      <c r="Q2" s="15"/>
      <c r="R2" s="8" t="s">
        <v>12</v>
      </c>
      <c r="S2" s="4" t="s">
        <v>13</v>
      </c>
      <c r="T2" s="5" t="s">
        <v>12</v>
      </c>
      <c r="U2" s="5" t="s">
        <v>13</v>
      </c>
      <c r="V2" s="6" t="s">
        <v>11</v>
      </c>
      <c r="W2" s="7" t="s">
        <v>13</v>
      </c>
    </row>
    <row r="3" spans="1:23" ht="15" customHeight="1" thickBot="1" x14ac:dyDescent="0.35">
      <c r="A3" s="23">
        <v>0</v>
      </c>
      <c r="B3" s="24" t="s">
        <v>14</v>
      </c>
      <c r="C3" s="24">
        <v>1</v>
      </c>
      <c r="D3" s="24">
        <v>104</v>
      </c>
      <c r="E3" s="24">
        <v>86</v>
      </c>
      <c r="F3" s="24">
        <v>102</v>
      </c>
      <c r="G3" s="24" t="e">
        <f>NA()</f>
        <v>#N/A</v>
      </c>
      <c r="H3" s="24" t="e">
        <f>NA()</f>
        <v>#N/A</v>
      </c>
      <c r="I3" s="24" t="e">
        <f>NA()</f>
        <v>#N/A</v>
      </c>
      <c r="J3" s="24" t="e">
        <f t="shared" ref="J3:J31" si="0">IF(NOT(ISBLANK($A3)), ABS(G3-D3), "")</f>
        <v>#N/A</v>
      </c>
      <c r="K3" s="25" t="e">
        <f t="shared" ref="K3:K31" si="1">J3/G3</f>
        <v>#N/A</v>
      </c>
      <c r="L3" s="24" t="e">
        <f t="shared" ref="L3:L31" si="2">ABS(H3-E3)</f>
        <v>#N/A</v>
      </c>
      <c r="M3" s="25" t="e">
        <f t="shared" ref="M3:M31" si="3">L3/H3</f>
        <v>#N/A</v>
      </c>
      <c r="N3" s="24" t="e">
        <f t="shared" ref="N3:N31" si="4">ABS(I3-F3)</f>
        <v>#N/A</v>
      </c>
      <c r="O3" s="25" t="e">
        <f t="shared" ref="O3:O31" si="5">N3/I3</f>
        <v>#N/A</v>
      </c>
      <c r="Q3" s="16"/>
      <c r="R3" s="11">
        <f t="shared" ref="R3:W3" si="6">_xlfn.AGGREGATE(1,6,J3:J1048576)</f>
        <v>9.6666666666666661</v>
      </c>
      <c r="S3" s="9">
        <f t="shared" si="6"/>
        <v>7.5071151834456937E-2</v>
      </c>
      <c r="T3" s="12">
        <f t="shared" si="6"/>
        <v>7.9333333333333336</v>
      </c>
      <c r="U3" s="9">
        <f t="shared" si="6"/>
        <v>0.10384162441038636</v>
      </c>
      <c r="V3" s="13">
        <f t="shared" si="6"/>
        <v>9.1333333333333329</v>
      </c>
      <c r="W3" s="10">
        <f t="shared" si="6"/>
        <v>0.14056558514465625</v>
      </c>
    </row>
    <row r="4" spans="1:23" x14ac:dyDescent="0.3">
      <c r="A4" s="23">
        <v>1</v>
      </c>
      <c r="B4" s="24" t="s">
        <v>14</v>
      </c>
      <c r="C4" s="24">
        <v>2</v>
      </c>
      <c r="D4" s="24">
        <v>114</v>
      </c>
      <c r="E4" s="24">
        <v>86</v>
      </c>
      <c r="F4" s="24">
        <v>89</v>
      </c>
      <c r="G4" s="24" t="e">
        <f>NA()</f>
        <v>#N/A</v>
      </c>
      <c r="H4" s="24" t="e">
        <f>NA()</f>
        <v>#N/A</v>
      </c>
      <c r="I4" s="24" t="e">
        <f>NA()</f>
        <v>#N/A</v>
      </c>
      <c r="J4" s="24" t="e">
        <f t="shared" si="0"/>
        <v>#N/A</v>
      </c>
      <c r="K4" s="25" t="e">
        <f t="shared" si="1"/>
        <v>#N/A</v>
      </c>
      <c r="L4" s="24" t="e">
        <f t="shared" si="2"/>
        <v>#N/A</v>
      </c>
      <c r="M4" s="25" t="e">
        <f t="shared" si="3"/>
        <v>#N/A</v>
      </c>
      <c r="N4" s="24" t="e">
        <f t="shared" si="4"/>
        <v>#N/A</v>
      </c>
      <c r="O4" s="25" t="e">
        <f t="shared" si="5"/>
        <v>#N/A</v>
      </c>
    </row>
    <row r="5" spans="1:23" x14ac:dyDescent="0.3">
      <c r="A5" s="23">
        <v>2</v>
      </c>
      <c r="B5" s="24" t="s">
        <v>14</v>
      </c>
      <c r="C5" s="24">
        <v>3</v>
      </c>
      <c r="D5" s="24">
        <v>123</v>
      </c>
      <c r="E5" s="24">
        <v>107</v>
      </c>
      <c r="F5" s="24">
        <v>98</v>
      </c>
      <c r="G5" s="24" t="e">
        <f>NA()</f>
        <v>#N/A</v>
      </c>
      <c r="H5" s="24" t="e">
        <f>NA()</f>
        <v>#N/A</v>
      </c>
      <c r="I5" s="24" t="e">
        <f>NA()</f>
        <v>#N/A</v>
      </c>
      <c r="J5" s="24" t="e">
        <f t="shared" si="0"/>
        <v>#N/A</v>
      </c>
      <c r="K5" s="25" t="e">
        <f t="shared" si="1"/>
        <v>#N/A</v>
      </c>
      <c r="L5" s="24" t="e">
        <f t="shared" si="2"/>
        <v>#N/A</v>
      </c>
      <c r="M5" s="25" t="e">
        <f t="shared" si="3"/>
        <v>#N/A</v>
      </c>
      <c r="N5" s="24" t="e">
        <f t="shared" si="4"/>
        <v>#N/A</v>
      </c>
      <c r="O5" s="25" t="e">
        <f t="shared" si="5"/>
        <v>#N/A</v>
      </c>
    </row>
    <row r="6" spans="1:23" x14ac:dyDescent="0.3">
      <c r="A6" s="23">
        <v>3</v>
      </c>
      <c r="B6" s="24" t="s">
        <v>14</v>
      </c>
      <c r="C6" s="24">
        <v>4</v>
      </c>
      <c r="D6" s="24">
        <v>137</v>
      </c>
      <c r="E6" s="24">
        <v>101</v>
      </c>
      <c r="F6" s="24">
        <v>99</v>
      </c>
      <c r="G6" s="24" t="e">
        <f>NA()</f>
        <v>#N/A</v>
      </c>
      <c r="H6" s="24" t="e">
        <f>NA()</f>
        <v>#N/A</v>
      </c>
      <c r="I6" s="24" t="e">
        <f>NA()</f>
        <v>#N/A</v>
      </c>
      <c r="J6" s="24" t="e">
        <f t="shared" si="0"/>
        <v>#N/A</v>
      </c>
      <c r="K6" s="25" t="e">
        <f t="shared" si="1"/>
        <v>#N/A</v>
      </c>
      <c r="L6" s="24" t="e">
        <f t="shared" si="2"/>
        <v>#N/A</v>
      </c>
      <c r="M6" s="25" t="e">
        <f t="shared" si="3"/>
        <v>#N/A</v>
      </c>
      <c r="N6" s="24" t="e">
        <f t="shared" si="4"/>
        <v>#N/A</v>
      </c>
      <c r="O6" s="25" t="e">
        <f t="shared" si="5"/>
        <v>#N/A</v>
      </c>
    </row>
    <row r="7" spans="1:23" x14ac:dyDescent="0.3">
      <c r="A7" s="23">
        <v>4</v>
      </c>
      <c r="B7" s="24" t="s">
        <v>14</v>
      </c>
      <c r="C7" s="24">
        <v>5</v>
      </c>
      <c r="D7" s="24">
        <v>110</v>
      </c>
      <c r="E7" s="24">
        <v>87</v>
      </c>
      <c r="F7" s="24">
        <v>71</v>
      </c>
      <c r="G7" s="24" t="e">
        <f>NA()</f>
        <v>#N/A</v>
      </c>
      <c r="H7" s="24" t="e">
        <f>NA()</f>
        <v>#N/A</v>
      </c>
      <c r="I7" s="24" t="e">
        <f>NA()</f>
        <v>#N/A</v>
      </c>
      <c r="J7" s="24" t="e">
        <f t="shared" si="0"/>
        <v>#N/A</v>
      </c>
      <c r="K7" s="25" t="e">
        <f t="shared" si="1"/>
        <v>#N/A</v>
      </c>
      <c r="L7" s="24" t="e">
        <f t="shared" si="2"/>
        <v>#N/A</v>
      </c>
      <c r="M7" s="25" t="e">
        <f t="shared" si="3"/>
        <v>#N/A</v>
      </c>
      <c r="N7" s="24" t="e">
        <f t="shared" si="4"/>
        <v>#N/A</v>
      </c>
      <c r="O7" s="25" t="e">
        <f t="shared" si="5"/>
        <v>#N/A</v>
      </c>
    </row>
    <row r="8" spans="1:23" x14ac:dyDescent="0.3">
      <c r="A8" s="23">
        <v>5</v>
      </c>
      <c r="B8" s="24" t="s">
        <v>14</v>
      </c>
      <c r="C8" s="24">
        <v>6</v>
      </c>
      <c r="D8" s="24">
        <v>113</v>
      </c>
      <c r="E8" s="24">
        <v>95</v>
      </c>
      <c r="F8" s="24">
        <v>77</v>
      </c>
      <c r="G8" s="24" t="e">
        <f>NA()</f>
        <v>#N/A</v>
      </c>
      <c r="H8" s="24" t="e">
        <f>NA()</f>
        <v>#N/A</v>
      </c>
      <c r="I8" s="24" t="e">
        <f>NA()</f>
        <v>#N/A</v>
      </c>
      <c r="J8" s="24" t="e">
        <f t="shared" si="0"/>
        <v>#N/A</v>
      </c>
      <c r="K8" s="25" t="e">
        <f t="shared" si="1"/>
        <v>#N/A</v>
      </c>
      <c r="L8" s="24" t="e">
        <f t="shared" si="2"/>
        <v>#N/A</v>
      </c>
      <c r="M8" s="25" t="e">
        <f t="shared" si="3"/>
        <v>#N/A</v>
      </c>
      <c r="N8" s="24" t="e">
        <f t="shared" si="4"/>
        <v>#N/A</v>
      </c>
      <c r="O8" s="25" t="e">
        <f t="shared" si="5"/>
        <v>#N/A</v>
      </c>
    </row>
    <row r="9" spans="1:23" x14ac:dyDescent="0.3">
      <c r="A9" s="23">
        <v>6</v>
      </c>
      <c r="B9" s="24" t="s">
        <v>14</v>
      </c>
      <c r="C9" s="24">
        <v>7</v>
      </c>
      <c r="D9" s="24">
        <v>126</v>
      </c>
      <c r="E9" s="24">
        <v>84</v>
      </c>
      <c r="F9" s="24">
        <v>77</v>
      </c>
      <c r="G9" s="24" t="e">
        <f>NA()</f>
        <v>#N/A</v>
      </c>
      <c r="H9" s="24" t="e">
        <f>NA()</f>
        <v>#N/A</v>
      </c>
      <c r="I9" s="24" t="e">
        <f>NA()</f>
        <v>#N/A</v>
      </c>
      <c r="J9" s="24" t="e">
        <f t="shared" si="0"/>
        <v>#N/A</v>
      </c>
      <c r="K9" s="25" t="e">
        <f t="shared" si="1"/>
        <v>#N/A</v>
      </c>
      <c r="L9" s="24" t="e">
        <f t="shared" si="2"/>
        <v>#N/A</v>
      </c>
      <c r="M9" s="25" t="e">
        <f t="shared" si="3"/>
        <v>#N/A</v>
      </c>
      <c r="N9" s="24" t="e">
        <f t="shared" si="4"/>
        <v>#N/A</v>
      </c>
      <c r="O9" s="25" t="e">
        <f t="shared" si="5"/>
        <v>#N/A</v>
      </c>
    </row>
    <row r="10" spans="1:23" x14ac:dyDescent="0.3">
      <c r="A10" s="23">
        <v>7</v>
      </c>
      <c r="B10" s="24" t="s">
        <v>14</v>
      </c>
      <c r="C10" s="24">
        <v>8</v>
      </c>
      <c r="D10" s="24">
        <v>126</v>
      </c>
      <c r="E10" s="24">
        <v>86</v>
      </c>
      <c r="F10" s="24">
        <v>78</v>
      </c>
      <c r="G10" s="24" t="e">
        <f>NA()</f>
        <v>#N/A</v>
      </c>
      <c r="H10" s="24" t="e">
        <f>NA()</f>
        <v>#N/A</v>
      </c>
      <c r="I10" s="24" t="e">
        <f>NA()</f>
        <v>#N/A</v>
      </c>
      <c r="J10" s="24" t="e">
        <f t="shared" si="0"/>
        <v>#N/A</v>
      </c>
      <c r="K10" s="26" t="e">
        <f t="shared" si="1"/>
        <v>#N/A</v>
      </c>
      <c r="L10" s="24" t="e">
        <f t="shared" si="2"/>
        <v>#N/A</v>
      </c>
      <c r="M10" s="25" t="e">
        <f t="shared" si="3"/>
        <v>#N/A</v>
      </c>
      <c r="N10" s="24" t="e">
        <f t="shared" si="4"/>
        <v>#N/A</v>
      </c>
      <c r="O10" s="25" t="e">
        <f t="shared" si="5"/>
        <v>#N/A</v>
      </c>
    </row>
    <row r="11" spans="1:23" x14ac:dyDescent="0.3">
      <c r="A11" s="23">
        <v>8</v>
      </c>
      <c r="B11" s="24" t="s">
        <v>14</v>
      </c>
      <c r="C11" s="24">
        <v>9</v>
      </c>
      <c r="D11" s="24">
        <v>130</v>
      </c>
      <c r="E11" s="24">
        <v>93</v>
      </c>
      <c r="F11" s="24">
        <v>77</v>
      </c>
      <c r="G11" s="24" t="e">
        <f>NA()</f>
        <v>#N/A</v>
      </c>
      <c r="H11" s="24" t="e">
        <f>NA()</f>
        <v>#N/A</v>
      </c>
      <c r="I11" s="24" t="e">
        <f>NA()</f>
        <v>#N/A</v>
      </c>
      <c r="J11" s="24" t="e">
        <f t="shared" si="0"/>
        <v>#N/A</v>
      </c>
      <c r="K11" s="25" t="e">
        <f t="shared" si="1"/>
        <v>#N/A</v>
      </c>
      <c r="L11" s="24" t="e">
        <f t="shared" si="2"/>
        <v>#N/A</v>
      </c>
      <c r="M11" s="25" t="e">
        <f t="shared" si="3"/>
        <v>#N/A</v>
      </c>
      <c r="N11" s="24" t="e">
        <f t="shared" si="4"/>
        <v>#N/A</v>
      </c>
      <c r="O11" s="25" t="e">
        <f t="shared" si="5"/>
        <v>#N/A</v>
      </c>
    </row>
    <row r="12" spans="1:23" x14ac:dyDescent="0.3">
      <c r="A12" s="23">
        <v>9</v>
      </c>
      <c r="B12" s="24" t="s">
        <v>14</v>
      </c>
      <c r="C12" s="24">
        <v>10</v>
      </c>
      <c r="D12" s="24">
        <v>134</v>
      </c>
      <c r="E12" s="24">
        <v>94</v>
      </c>
      <c r="F12" s="24">
        <v>76</v>
      </c>
      <c r="G12" s="24" t="e">
        <f>NA()</f>
        <v>#N/A</v>
      </c>
      <c r="H12" s="24" t="e">
        <f>NA()</f>
        <v>#N/A</v>
      </c>
      <c r="I12" s="24" t="e">
        <f>NA()</f>
        <v>#N/A</v>
      </c>
      <c r="J12" s="24" t="e">
        <f t="shared" si="0"/>
        <v>#N/A</v>
      </c>
      <c r="K12" s="25" t="e">
        <f t="shared" si="1"/>
        <v>#N/A</v>
      </c>
      <c r="L12" s="24" t="e">
        <f t="shared" si="2"/>
        <v>#N/A</v>
      </c>
      <c r="M12" s="25" t="e">
        <f t="shared" si="3"/>
        <v>#N/A</v>
      </c>
      <c r="N12" s="24" t="e">
        <f t="shared" si="4"/>
        <v>#N/A</v>
      </c>
      <c r="O12" s="25" t="e">
        <f t="shared" si="5"/>
        <v>#N/A</v>
      </c>
    </row>
    <row r="13" spans="1:23" x14ac:dyDescent="0.3">
      <c r="A13" s="23">
        <v>10</v>
      </c>
      <c r="B13" s="24" t="s">
        <v>14</v>
      </c>
      <c r="C13" s="24">
        <v>11</v>
      </c>
      <c r="D13" s="24" t="e">
        <f>NA()</f>
        <v>#N/A</v>
      </c>
      <c r="E13" s="24" t="e">
        <f>NA()</f>
        <v>#N/A</v>
      </c>
      <c r="F13" s="24" t="e">
        <f>NA()</f>
        <v>#N/A</v>
      </c>
      <c r="G13" s="24">
        <v>126</v>
      </c>
      <c r="H13" s="24">
        <v>85</v>
      </c>
      <c r="I13" s="24">
        <v>71</v>
      </c>
      <c r="J13" s="24" t="e">
        <f t="shared" si="0"/>
        <v>#N/A</v>
      </c>
      <c r="K13" s="25" t="e">
        <f t="shared" si="1"/>
        <v>#N/A</v>
      </c>
      <c r="L13" s="24" t="e">
        <f t="shared" si="2"/>
        <v>#N/A</v>
      </c>
      <c r="M13" s="25" t="e">
        <f t="shared" si="3"/>
        <v>#N/A</v>
      </c>
      <c r="N13" s="24" t="e">
        <f t="shared" si="4"/>
        <v>#N/A</v>
      </c>
      <c r="O13" s="25" t="e">
        <f t="shared" si="5"/>
        <v>#N/A</v>
      </c>
    </row>
    <row r="14" spans="1:23" x14ac:dyDescent="0.3">
      <c r="A14" s="23">
        <v>11</v>
      </c>
      <c r="B14" s="24" t="s">
        <v>14</v>
      </c>
      <c r="C14" s="24">
        <v>12</v>
      </c>
      <c r="D14" s="24">
        <v>135</v>
      </c>
      <c r="E14" s="24">
        <v>73</v>
      </c>
      <c r="F14" s="24">
        <v>68</v>
      </c>
      <c r="G14" s="24">
        <v>120</v>
      </c>
      <c r="H14" s="24">
        <v>74</v>
      </c>
      <c r="I14" s="24">
        <v>66</v>
      </c>
      <c r="J14" s="24">
        <f t="shared" si="0"/>
        <v>15</v>
      </c>
      <c r="K14" s="25">
        <f t="shared" si="1"/>
        <v>0.125</v>
      </c>
      <c r="L14" s="24">
        <f t="shared" si="2"/>
        <v>1</v>
      </c>
      <c r="M14" s="25">
        <f t="shared" si="3"/>
        <v>1.3513513513513514E-2</v>
      </c>
      <c r="N14" s="24">
        <f t="shared" si="4"/>
        <v>2</v>
      </c>
      <c r="O14" s="25">
        <f t="shared" si="5"/>
        <v>3.0303030303030304E-2</v>
      </c>
    </row>
    <row r="15" spans="1:23" x14ac:dyDescent="0.3">
      <c r="A15" s="23">
        <v>12</v>
      </c>
      <c r="B15" s="24" t="s">
        <v>14</v>
      </c>
      <c r="C15" s="24">
        <v>13</v>
      </c>
      <c r="D15" s="24">
        <v>130</v>
      </c>
      <c r="E15" s="24">
        <v>71</v>
      </c>
      <c r="F15" s="24">
        <v>74</v>
      </c>
      <c r="G15" s="24">
        <v>135</v>
      </c>
      <c r="H15" s="24">
        <v>69</v>
      </c>
      <c r="I15" s="24">
        <v>66</v>
      </c>
      <c r="J15" s="24">
        <f t="shared" si="0"/>
        <v>5</v>
      </c>
      <c r="K15" s="25">
        <f t="shared" si="1"/>
        <v>3.7037037037037035E-2</v>
      </c>
      <c r="L15" s="36">
        <f t="shared" si="2"/>
        <v>2</v>
      </c>
      <c r="M15" s="25">
        <f t="shared" si="3"/>
        <v>2.8985507246376812E-2</v>
      </c>
      <c r="N15" s="24">
        <f t="shared" si="4"/>
        <v>8</v>
      </c>
      <c r="O15" s="25">
        <f t="shared" si="5"/>
        <v>0.12121212121212122</v>
      </c>
    </row>
    <row r="16" spans="1:23" x14ac:dyDescent="0.3">
      <c r="A16" s="23">
        <v>13</v>
      </c>
      <c r="B16" s="24" t="s">
        <v>14</v>
      </c>
      <c r="C16" s="24">
        <v>14</v>
      </c>
      <c r="D16" s="24">
        <v>125</v>
      </c>
      <c r="E16" s="24">
        <v>78</v>
      </c>
      <c r="F16" s="24">
        <v>65</v>
      </c>
      <c r="G16" s="24">
        <v>117</v>
      </c>
      <c r="H16" s="24">
        <v>70</v>
      </c>
      <c r="I16" s="24">
        <v>67</v>
      </c>
      <c r="J16" s="24">
        <f t="shared" si="0"/>
        <v>8</v>
      </c>
      <c r="K16" s="25">
        <f t="shared" si="1"/>
        <v>6.8376068376068383E-2</v>
      </c>
      <c r="L16" s="24">
        <f t="shared" si="2"/>
        <v>8</v>
      </c>
      <c r="M16" s="25">
        <f t="shared" si="3"/>
        <v>0.11428571428571428</v>
      </c>
      <c r="N16" s="24">
        <f t="shared" si="4"/>
        <v>2</v>
      </c>
      <c r="O16" s="25">
        <f t="shared" si="5"/>
        <v>2.9850746268656716E-2</v>
      </c>
    </row>
    <row r="17" spans="1:17" x14ac:dyDescent="0.3">
      <c r="A17" s="23">
        <v>14</v>
      </c>
      <c r="B17" s="24" t="s">
        <v>14</v>
      </c>
      <c r="C17" s="24">
        <v>15</v>
      </c>
      <c r="D17" s="24">
        <v>140</v>
      </c>
      <c r="E17" s="24">
        <v>77</v>
      </c>
      <c r="F17" s="24">
        <v>70</v>
      </c>
      <c r="G17" s="24">
        <v>123</v>
      </c>
      <c r="H17" s="24">
        <v>74</v>
      </c>
      <c r="I17" s="24">
        <v>70</v>
      </c>
      <c r="J17" s="24">
        <f t="shared" si="0"/>
        <v>17</v>
      </c>
      <c r="K17" s="25">
        <f t="shared" si="1"/>
        <v>0.13821138211382114</v>
      </c>
      <c r="L17" s="24">
        <f t="shared" si="2"/>
        <v>3</v>
      </c>
      <c r="M17" s="25">
        <f t="shared" si="3"/>
        <v>4.0540540540540543E-2</v>
      </c>
      <c r="N17" s="24">
        <f t="shared" si="4"/>
        <v>0</v>
      </c>
      <c r="O17" s="25">
        <f t="shared" si="5"/>
        <v>0</v>
      </c>
    </row>
    <row r="18" spans="1:17" x14ac:dyDescent="0.3">
      <c r="A18" s="23">
        <v>15</v>
      </c>
      <c r="B18" s="24" t="s">
        <v>14</v>
      </c>
      <c r="C18" s="24">
        <v>16</v>
      </c>
      <c r="D18" s="24">
        <v>150</v>
      </c>
      <c r="E18" s="24">
        <v>79</v>
      </c>
      <c r="F18" s="24">
        <v>67</v>
      </c>
      <c r="G18" s="24">
        <v>134</v>
      </c>
      <c r="H18" s="24">
        <v>78</v>
      </c>
      <c r="I18" s="24">
        <v>70</v>
      </c>
      <c r="J18" s="24">
        <f t="shared" si="0"/>
        <v>16</v>
      </c>
      <c r="K18" s="25">
        <f t="shared" si="1"/>
        <v>0.11940298507462686</v>
      </c>
      <c r="L18" s="24">
        <f t="shared" si="2"/>
        <v>1</v>
      </c>
      <c r="M18" s="25">
        <f t="shared" si="3"/>
        <v>1.282051282051282E-2</v>
      </c>
      <c r="N18" s="24">
        <f t="shared" si="4"/>
        <v>3</v>
      </c>
      <c r="O18" s="25">
        <f t="shared" si="5"/>
        <v>4.2857142857142858E-2</v>
      </c>
    </row>
    <row r="19" spans="1:17" x14ac:dyDescent="0.3">
      <c r="A19" s="23">
        <v>16</v>
      </c>
      <c r="B19" s="24" t="s">
        <v>14</v>
      </c>
      <c r="C19" s="24">
        <v>17</v>
      </c>
      <c r="D19" s="24">
        <v>131</v>
      </c>
      <c r="E19" s="24">
        <v>81</v>
      </c>
      <c r="F19" s="24">
        <v>65</v>
      </c>
      <c r="G19" s="24">
        <v>136</v>
      </c>
      <c r="H19" s="24">
        <v>79</v>
      </c>
      <c r="I19" s="24">
        <v>69</v>
      </c>
      <c r="J19" s="24">
        <f t="shared" si="0"/>
        <v>5</v>
      </c>
      <c r="K19" s="25">
        <f t="shared" si="1"/>
        <v>3.6764705882352942E-2</v>
      </c>
      <c r="L19" s="24">
        <f t="shared" si="2"/>
        <v>2</v>
      </c>
      <c r="M19" s="25">
        <f t="shared" si="3"/>
        <v>2.5316455696202531E-2</v>
      </c>
      <c r="N19" s="24">
        <f t="shared" si="4"/>
        <v>4</v>
      </c>
      <c r="O19" s="25">
        <f t="shared" si="5"/>
        <v>5.7971014492753624E-2</v>
      </c>
    </row>
    <row r="20" spans="1:17" x14ac:dyDescent="0.3">
      <c r="A20" s="23">
        <v>17</v>
      </c>
      <c r="B20" s="24" t="s">
        <v>14</v>
      </c>
      <c r="C20" s="24">
        <v>18</v>
      </c>
      <c r="D20" s="24">
        <v>133</v>
      </c>
      <c r="E20" s="24">
        <v>82</v>
      </c>
      <c r="F20" s="24">
        <v>90</v>
      </c>
      <c r="G20" s="24">
        <v>135</v>
      </c>
      <c r="H20" s="24">
        <v>81</v>
      </c>
      <c r="I20" s="24">
        <v>79</v>
      </c>
      <c r="J20" s="24">
        <f t="shared" si="0"/>
        <v>2</v>
      </c>
      <c r="K20" s="25">
        <f t="shared" si="1"/>
        <v>1.4814814814814815E-2</v>
      </c>
      <c r="L20" s="24">
        <f t="shared" si="2"/>
        <v>1</v>
      </c>
      <c r="M20" s="25">
        <f t="shared" si="3"/>
        <v>1.2345679012345678E-2</v>
      </c>
      <c r="N20" s="24">
        <f t="shared" si="4"/>
        <v>11</v>
      </c>
      <c r="O20" s="25">
        <f t="shared" si="5"/>
        <v>0.13924050632911392</v>
      </c>
    </row>
    <row r="21" spans="1:17" x14ac:dyDescent="0.3">
      <c r="A21" s="23">
        <v>18</v>
      </c>
      <c r="B21" s="24" t="s">
        <v>14</v>
      </c>
      <c r="C21" s="24">
        <v>19</v>
      </c>
      <c r="D21" s="24">
        <v>127</v>
      </c>
      <c r="E21" s="24">
        <v>89</v>
      </c>
      <c r="F21" s="24">
        <v>75</v>
      </c>
      <c r="G21" s="24">
        <v>144</v>
      </c>
      <c r="H21" s="24">
        <v>86</v>
      </c>
      <c r="I21" s="24">
        <v>78</v>
      </c>
      <c r="J21" s="24">
        <f t="shared" si="0"/>
        <v>17</v>
      </c>
      <c r="K21" s="25">
        <f t="shared" si="1"/>
        <v>0.11805555555555555</v>
      </c>
      <c r="L21" s="24">
        <f t="shared" si="2"/>
        <v>3</v>
      </c>
      <c r="M21" s="25">
        <f t="shared" si="3"/>
        <v>3.4883720930232558E-2</v>
      </c>
      <c r="N21" s="24">
        <f t="shared" si="4"/>
        <v>3</v>
      </c>
      <c r="O21" s="25">
        <f t="shared" si="5"/>
        <v>3.8461538461538464E-2</v>
      </c>
    </row>
    <row r="22" spans="1:17" x14ac:dyDescent="0.3">
      <c r="A22" s="23">
        <v>19</v>
      </c>
      <c r="B22" s="24" t="s">
        <v>14</v>
      </c>
      <c r="C22" s="24">
        <v>20</v>
      </c>
      <c r="D22" s="24">
        <v>122</v>
      </c>
      <c r="E22" s="24">
        <v>91</v>
      </c>
      <c r="F22" s="24">
        <v>85</v>
      </c>
      <c r="G22" s="24">
        <v>131</v>
      </c>
      <c r="H22" s="24">
        <v>77</v>
      </c>
      <c r="I22" s="24">
        <v>72</v>
      </c>
      <c r="J22" s="24">
        <f t="shared" si="0"/>
        <v>9</v>
      </c>
      <c r="K22" s="25">
        <f t="shared" si="1"/>
        <v>6.8702290076335881E-2</v>
      </c>
      <c r="L22" s="24">
        <f t="shared" si="2"/>
        <v>14</v>
      </c>
      <c r="M22" s="25">
        <f t="shared" si="3"/>
        <v>0.18181818181818182</v>
      </c>
      <c r="N22" s="24">
        <f t="shared" si="4"/>
        <v>13</v>
      </c>
      <c r="O22" s="25">
        <f t="shared" si="5"/>
        <v>0.18055555555555555</v>
      </c>
    </row>
    <row r="23" spans="1:17" x14ac:dyDescent="0.3">
      <c r="A23" s="23">
        <v>20</v>
      </c>
      <c r="B23" s="24" t="s">
        <v>14</v>
      </c>
      <c r="C23" s="24">
        <v>21</v>
      </c>
      <c r="D23" s="24">
        <v>129</v>
      </c>
      <c r="E23" s="24">
        <v>86</v>
      </c>
      <c r="F23" s="24">
        <v>77</v>
      </c>
      <c r="G23" s="24">
        <v>130</v>
      </c>
      <c r="H23" s="24">
        <v>85</v>
      </c>
      <c r="I23" s="24">
        <v>67</v>
      </c>
      <c r="J23" s="24">
        <f t="shared" si="0"/>
        <v>1</v>
      </c>
      <c r="K23" s="25">
        <f t="shared" si="1"/>
        <v>7.6923076923076927E-3</v>
      </c>
      <c r="L23" s="24">
        <f t="shared" si="2"/>
        <v>1</v>
      </c>
      <c r="M23" s="25">
        <f t="shared" si="3"/>
        <v>1.1764705882352941E-2</v>
      </c>
      <c r="N23" s="24">
        <f t="shared" si="4"/>
        <v>10</v>
      </c>
      <c r="O23" s="25">
        <f t="shared" si="5"/>
        <v>0.14925373134328357</v>
      </c>
      <c r="Q23" s="3"/>
    </row>
    <row r="24" spans="1:17" x14ac:dyDescent="0.3">
      <c r="A24" s="23">
        <v>21</v>
      </c>
      <c r="B24" s="24" t="s">
        <v>14</v>
      </c>
      <c r="C24" s="24">
        <v>22</v>
      </c>
      <c r="D24" s="24">
        <v>128</v>
      </c>
      <c r="E24" s="24">
        <v>84</v>
      </c>
      <c r="F24" s="24">
        <v>84</v>
      </c>
      <c r="G24" s="24">
        <v>131</v>
      </c>
      <c r="H24" s="24">
        <v>86</v>
      </c>
      <c r="I24" s="24">
        <v>68</v>
      </c>
      <c r="J24" s="24">
        <f t="shared" si="0"/>
        <v>3</v>
      </c>
      <c r="K24" s="25">
        <f t="shared" si="1"/>
        <v>2.2900763358778626E-2</v>
      </c>
      <c r="L24" s="24">
        <f t="shared" si="2"/>
        <v>2</v>
      </c>
      <c r="M24" s="25">
        <f t="shared" si="3"/>
        <v>2.3255813953488372E-2</v>
      </c>
      <c r="N24" s="24">
        <f t="shared" si="4"/>
        <v>16</v>
      </c>
      <c r="O24" s="25">
        <f t="shared" si="5"/>
        <v>0.23529411764705882</v>
      </c>
    </row>
    <row r="25" spans="1:17" x14ac:dyDescent="0.3">
      <c r="A25" s="23">
        <v>22</v>
      </c>
      <c r="B25" s="24" t="s">
        <v>14</v>
      </c>
      <c r="C25" s="24">
        <v>23</v>
      </c>
      <c r="D25" s="24">
        <v>152</v>
      </c>
      <c r="E25" s="24">
        <v>111</v>
      </c>
      <c r="F25" s="24">
        <v>89</v>
      </c>
      <c r="G25" s="24">
        <v>127</v>
      </c>
      <c r="H25" s="24">
        <v>82</v>
      </c>
      <c r="I25" s="24">
        <v>61</v>
      </c>
      <c r="J25" s="24">
        <f t="shared" si="0"/>
        <v>25</v>
      </c>
      <c r="K25" s="25">
        <f t="shared" si="1"/>
        <v>0.19685039370078741</v>
      </c>
      <c r="L25" s="24">
        <f t="shared" si="2"/>
        <v>29</v>
      </c>
      <c r="M25" s="25">
        <f t="shared" si="3"/>
        <v>0.35365853658536583</v>
      </c>
      <c r="N25" s="24">
        <f t="shared" si="4"/>
        <v>28</v>
      </c>
      <c r="O25" s="25">
        <f t="shared" si="5"/>
        <v>0.45901639344262296</v>
      </c>
    </row>
    <row r="26" spans="1:17" x14ac:dyDescent="0.3">
      <c r="A26" s="23">
        <v>23</v>
      </c>
      <c r="B26" s="24" t="s">
        <v>14</v>
      </c>
      <c r="C26" s="24">
        <v>24</v>
      </c>
      <c r="D26" s="24">
        <v>124</v>
      </c>
      <c r="E26" s="24">
        <v>97</v>
      </c>
      <c r="F26" s="24">
        <v>77</v>
      </c>
      <c r="G26" s="24">
        <v>132</v>
      </c>
      <c r="H26" s="24">
        <v>80</v>
      </c>
      <c r="I26" s="24">
        <v>57</v>
      </c>
      <c r="J26" s="24">
        <f t="shared" si="0"/>
        <v>8</v>
      </c>
      <c r="K26" s="25">
        <f t="shared" si="1"/>
        <v>6.0606060606060608E-2</v>
      </c>
      <c r="L26" s="24">
        <f t="shared" si="2"/>
        <v>17</v>
      </c>
      <c r="M26" s="25">
        <f t="shared" si="3"/>
        <v>0.21249999999999999</v>
      </c>
      <c r="N26" s="24">
        <f t="shared" si="4"/>
        <v>20</v>
      </c>
      <c r="O26" s="25">
        <f t="shared" si="5"/>
        <v>0.35087719298245612</v>
      </c>
    </row>
    <row r="27" spans="1:17" x14ac:dyDescent="0.3">
      <c r="A27" s="23">
        <v>24</v>
      </c>
      <c r="B27" s="24" t="s">
        <v>14</v>
      </c>
      <c r="C27" s="24">
        <v>25</v>
      </c>
      <c r="D27" s="24">
        <v>133</v>
      </c>
      <c r="E27" s="24">
        <v>100</v>
      </c>
      <c r="F27" s="24">
        <v>79</v>
      </c>
      <c r="G27" s="24">
        <v>129</v>
      </c>
      <c r="H27" s="24">
        <v>80</v>
      </c>
      <c r="I27" s="24">
        <v>64</v>
      </c>
      <c r="J27" s="24">
        <f t="shared" si="0"/>
        <v>4</v>
      </c>
      <c r="K27" s="25">
        <f t="shared" si="1"/>
        <v>3.1007751937984496E-2</v>
      </c>
      <c r="L27" s="24">
        <f t="shared" si="2"/>
        <v>20</v>
      </c>
      <c r="M27" s="25">
        <f t="shared" si="3"/>
        <v>0.25</v>
      </c>
      <c r="N27" s="24">
        <f t="shared" si="4"/>
        <v>15</v>
      </c>
      <c r="O27" s="25">
        <f t="shared" si="5"/>
        <v>0.234375</v>
      </c>
    </row>
    <row r="28" spans="1:17" x14ac:dyDescent="0.3">
      <c r="A28" s="23">
        <v>25</v>
      </c>
      <c r="B28" s="24" t="s">
        <v>15</v>
      </c>
      <c r="C28" s="24">
        <v>1</v>
      </c>
      <c r="D28" s="24" t="e">
        <f>NA()</f>
        <v>#N/A</v>
      </c>
      <c r="E28" s="24" t="e">
        <f>NA()</f>
        <v>#N/A</v>
      </c>
      <c r="F28" s="24" t="e">
        <f>NA()</f>
        <v>#N/A</v>
      </c>
      <c r="G28" s="24">
        <v>116</v>
      </c>
      <c r="H28" s="24">
        <v>65</v>
      </c>
      <c r="I28" s="24">
        <v>54</v>
      </c>
      <c r="J28" s="24" t="e">
        <f t="shared" si="0"/>
        <v>#N/A</v>
      </c>
      <c r="K28" s="25" t="e">
        <f t="shared" si="1"/>
        <v>#N/A</v>
      </c>
      <c r="L28" s="24" t="e">
        <f t="shared" si="2"/>
        <v>#N/A</v>
      </c>
      <c r="M28" s="25" t="e">
        <f t="shared" si="3"/>
        <v>#N/A</v>
      </c>
      <c r="N28" s="24" t="e">
        <f t="shared" si="4"/>
        <v>#N/A</v>
      </c>
      <c r="O28" s="25" t="e">
        <f t="shared" si="5"/>
        <v>#N/A</v>
      </c>
    </row>
    <row r="29" spans="1:17" x14ac:dyDescent="0.3">
      <c r="A29" s="23">
        <v>26</v>
      </c>
      <c r="B29" s="24" t="s">
        <v>15</v>
      </c>
      <c r="C29" s="24">
        <v>2</v>
      </c>
      <c r="D29" s="24">
        <v>134</v>
      </c>
      <c r="E29" s="24">
        <v>77</v>
      </c>
      <c r="F29" s="24">
        <v>53</v>
      </c>
      <c r="G29" s="24">
        <v>124</v>
      </c>
      <c r="H29" s="24">
        <v>62</v>
      </c>
      <c r="I29" s="24">
        <v>51</v>
      </c>
      <c r="J29" s="24">
        <f t="shared" si="0"/>
        <v>10</v>
      </c>
      <c r="K29" s="25">
        <f t="shared" si="1"/>
        <v>8.0645161290322578E-2</v>
      </c>
      <c r="L29" s="24">
        <f t="shared" si="2"/>
        <v>15</v>
      </c>
      <c r="M29" s="25">
        <f t="shared" si="3"/>
        <v>0.24193548387096775</v>
      </c>
      <c r="N29" s="24">
        <f t="shared" si="4"/>
        <v>2</v>
      </c>
      <c r="O29" s="25">
        <f t="shared" si="5"/>
        <v>3.9215686274509803E-2</v>
      </c>
    </row>
    <row r="30" spans="1:17" x14ac:dyDescent="0.3">
      <c r="A30" s="23">
        <v>27</v>
      </c>
      <c r="B30" s="24" t="s">
        <v>16</v>
      </c>
      <c r="C30" s="24">
        <v>1</v>
      </c>
      <c r="D30" s="24" t="e">
        <f>NA()</f>
        <v>#N/A</v>
      </c>
      <c r="E30" s="24" t="e">
        <f>NA()</f>
        <v>#N/A</v>
      </c>
      <c r="F30" s="24" t="e">
        <f>NA()</f>
        <v>#N/A</v>
      </c>
      <c r="G30" s="24">
        <v>128</v>
      </c>
      <c r="H30" s="24">
        <v>81</v>
      </c>
      <c r="I30" s="24">
        <v>60</v>
      </c>
      <c r="J30" s="24" t="e">
        <f t="shared" si="0"/>
        <v>#N/A</v>
      </c>
      <c r="K30" s="25" t="e">
        <f t="shared" si="1"/>
        <v>#N/A</v>
      </c>
      <c r="L30" s="24" t="e">
        <f t="shared" si="2"/>
        <v>#N/A</v>
      </c>
      <c r="M30" s="25" t="e">
        <f t="shared" si="3"/>
        <v>#N/A</v>
      </c>
      <c r="N30" s="24" t="e">
        <f t="shared" si="4"/>
        <v>#N/A</v>
      </c>
      <c r="O30" s="25" t="e">
        <f t="shared" si="5"/>
        <v>#N/A</v>
      </c>
    </row>
    <row r="31" spans="1:17" x14ac:dyDescent="0.3">
      <c r="A31" s="23">
        <v>28</v>
      </c>
      <c r="B31" s="24" t="s">
        <v>16</v>
      </c>
      <c r="C31" s="24">
        <v>2</v>
      </c>
      <c r="D31" s="24" t="e">
        <f>NA()</f>
        <v>#N/A</v>
      </c>
      <c r="E31" s="24" t="e">
        <f>NA()</f>
        <v>#N/A</v>
      </c>
      <c r="F31" s="24" t="e">
        <f>NA()</f>
        <v>#N/A</v>
      </c>
      <c r="G31" s="24">
        <v>126</v>
      </c>
      <c r="H31" s="24">
        <v>85</v>
      </c>
      <c r="I31" s="24">
        <v>71</v>
      </c>
      <c r="J31" s="24" t="e">
        <f t="shared" si="0"/>
        <v>#N/A</v>
      </c>
      <c r="K31" s="25" t="e">
        <f t="shared" si="1"/>
        <v>#N/A</v>
      </c>
      <c r="L31" s="24" t="e">
        <f t="shared" si="2"/>
        <v>#N/A</v>
      </c>
      <c r="M31" s="25" t="e">
        <f t="shared" si="3"/>
        <v>#N/A</v>
      </c>
      <c r="N31" s="24" t="e">
        <f t="shared" si="4"/>
        <v>#N/A</v>
      </c>
      <c r="O31" s="25" t="e">
        <f t="shared" si="5"/>
        <v>#N/A</v>
      </c>
    </row>
    <row r="32" spans="1:17" x14ac:dyDescent="0.3">
      <c r="A32" s="27"/>
      <c r="B32" s="28"/>
      <c r="C32" s="28"/>
      <c r="D32" s="28"/>
      <c r="E32" s="28"/>
      <c r="F32" s="28"/>
      <c r="G32" s="28"/>
      <c r="H32" s="28"/>
      <c r="I32" s="28"/>
      <c r="J32" s="28"/>
      <c r="K32" s="29"/>
      <c r="L32" s="28"/>
      <c r="M32" s="29"/>
      <c r="N32" s="28"/>
      <c r="O32" s="29"/>
    </row>
  </sheetData>
  <mergeCells count="12">
    <mergeCell ref="A1:A2"/>
    <mergeCell ref="C1:C2"/>
    <mergeCell ref="B1:B2"/>
    <mergeCell ref="D1:F1"/>
    <mergeCell ref="R1:S1"/>
    <mergeCell ref="N1:O1"/>
    <mergeCell ref="G1:I1"/>
    <mergeCell ref="Q1:Q3"/>
    <mergeCell ref="V1:W1"/>
    <mergeCell ref="T1:U1"/>
    <mergeCell ref="L1:M1"/>
    <mergeCell ref="J1:K1"/>
  </mergeCells>
  <conditionalFormatting sqref="A1:O1048576">
    <cfRule type="expression" dxfId="9" priority="12">
      <formula>ISBLANK(A1)</formula>
    </cfRule>
    <cfRule type="containsErrors" dxfId="8" priority="1">
      <formula>ISERROR(A1)</formula>
    </cfRule>
  </conditionalFormatting>
  <conditionalFormatting sqref="K3:K1048576 M3:M1048576 O3:O1048576 S3 U3 W3">
    <cfRule type="colorScale" priority="11">
      <colorScale>
        <cfvo type="num" val="0"/>
        <cfvo type="num" val="0.08"/>
        <cfvo type="num" val="1"/>
        <color rgb="FF63BE7B"/>
        <color rgb="FFFFEB84"/>
        <color rgb="FFF8696B"/>
      </colorScale>
    </cfRule>
  </conditionalFormatting>
  <conditionalFormatting sqref="D3:D1048576 G3:G1048576 J3:J1048576">
    <cfRule type="notContainsBlanks" dxfId="7" priority="13">
      <formula>LEN(TRIM(D3))&gt;0</formula>
    </cfRule>
  </conditionalFormatting>
  <conditionalFormatting sqref="E3:E1048576 H3:H1048576 L3:L1048576">
    <cfRule type="notContainsBlanks" dxfId="6" priority="3">
      <formula>LEN(TRIM(E3))&gt;0</formula>
    </cfRule>
  </conditionalFormatting>
  <conditionalFormatting sqref="F3:F1048576 I3:I1048576 N3:N1048576">
    <cfRule type="notContainsBlanks" dxfId="5" priority="2">
      <formula>LEN(TRIM(F3))&gt;0</formula>
    </cfRule>
  </conditionalFormatting>
  <pageMargins left="0.7" right="0.7" top="0.75" bottom="0.75" header="0.3" footer="0.3"/>
  <pageSetup paperSize="9" scale="9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"/>
  <sheetViews>
    <sheetView workbookViewId="0">
      <selection activeCell="F4" sqref="F4"/>
    </sheetView>
  </sheetViews>
  <sheetFormatPr baseColWidth="10" defaultColWidth="8.88671875" defaultRowHeight="14.4" x14ac:dyDescent="0.3"/>
  <cols>
    <col min="1" max="9" width="8.88671875" style="1" customWidth="1"/>
  </cols>
  <sheetData>
    <row r="1" spans="1:9" x14ac:dyDescent="0.3">
      <c r="A1" s="21" t="s">
        <v>0</v>
      </c>
      <c r="B1" s="21" t="s">
        <v>1</v>
      </c>
      <c r="C1" s="21" t="s">
        <v>17</v>
      </c>
      <c r="D1" s="21" t="s">
        <v>3</v>
      </c>
      <c r="E1" s="22"/>
      <c r="F1" s="22"/>
      <c r="G1" s="21" t="s">
        <v>4</v>
      </c>
      <c r="H1" s="22"/>
      <c r="I1" s="22"/>
    </row>
    <row r="2" spans="1:9" x14ac:dyDescent="0.3">
      <c r="A2" s="22"/>
      <c r="B2" s="22"/>
      <c r="C2" s="22"/>
      <c r="D2" s="2" t="s">
        <v>9</v>
      </c>
      <c r="E2" s="2" t="s">
        <v>10</v>
      </c>
      <c r="F2" s="2" t="s">
        <v>11</v>
      </c>
      <c r="G2" s="2" t="s">
        <v>9</v>
      </c>
      <c r="H2" s="2" t="s">
        <v>10</v>
      </c>
      <c r="I2" s="2" t="s">
        <v>11</v>
      </c>
    </row>
  </sheetData>
  <mergeCells count="5">
    <mergeCell ref="C1:C2"/>
    <mergeCell ref="B1:B2"/>
    <mergeCell ref="D1:F1"/>
    <mergeCell ref="G1:I1"/>
    <mergeCell ref="A1:A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BloodPressure_v1</vt:lpstr>
      <vt:lpstr>BloodPressure_v2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Sanchez</dc:creator>
  <cp:lastModifiedBy>ANDRES SANCHEZ SILVA</cp:lastModifiedBy>
  <cp:lastPrinted>2025-05-16T17:06:21Z</cp:lastPrinted>
  <dcterms:created xsi:type="dcterms:W3CDTF">2015-06-05T18:17:20Z</dcterms:created>
  <dcterms:modified xsi:type="dcterms:W3CDTF">2025-05-16T17:19:59Z</dcterms:modified>
</cp:coreProperties>
</file>