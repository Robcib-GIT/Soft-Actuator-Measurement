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BloodPressure" sheetId="1" state="visible" r:id="rId1"/>
    <sheet name="BP_Subject" sheetId="2" state="visible" r:id="rId2"/>
    <sheet name="Pulse" sheetId="3" state="visible" r:id="rId3"/>
  </sheets>
  <definedNames/>
  <calcPr calcId="181029" fullCalcOnLoad="1"/>
</workbook>
</file>

<file path=xl/styles.xml><?xml version="1.0" encoding="utf-8"?>
<styleSheet xmlns="http://schemas.openxmlformats.org/spreadsheetml/2006/main">
  <numFmts count="1">
    <numFmt numFmtId="164" formatCode="0000"/>
  </numFmts>
  <fonts count="5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b val="1"/>
      <color theme="0"/>
      <sz val="11"/>
      <scheme val="minor"/>
    </font>
  </fonts>
  <fills count="9">
    <fill>
      <patternFill/>
    </fill>
    <fill>
      <patternFill patternType="gray125"/>
    </fill>
    <fill>
      <patternFill patternType="solid">
        <fgColor theme="7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/>
        <bgColor indexed="64"/>
      </patternFill>
    </fill>
  </fills>
  <borders count="20">
    <border>
      <left/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</borders>
  <cellStyleXfs count="2">
    <xf numFmtId="0" fontId="2" fillId="0" borderId="0"/>
    <xf numFmtId="43" fontId="2" fillId="0" borderId="0"/>
  </cellStyleXfs>
  <cellXfs count="29"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1" fillId="6" borderId="6" applyAlignment="1" pivotButton="0" quotePrefix="0" xfId="0">
      <alignment horizontal="center" vertical="center"/>
    </xf>
    <xf numFmtId="0" fontId="1" fillId="7" borderId="6" applyAlignment="1" pivotButton="0" quotePrefix="0" xfId="0">
      <alignment horizontal="center" vertical="center"/>
    </xf>
    <xf numFmtId="0" fontId="1" fillId="2" borderId="6" applyAlignment="1" pivotButton="0" quotePrefix="0" xfId="0">
      <alignment horizontal="center" vertical="center"/>
    </xf>
    <xf numFmtId="0" fontId="1" fillId="2" borderId="7" applyAlignment="1" pivotButton="0" quotePrefix="0" xfId="0">
      <alignment horizontal="center" vertical="center"/>
    </xf>
    <xf numFmtId="0" fontId="1" fillId="6" borderId="5" applyAlignment="1" pivotButton="0" quotePrefix="0" xfId="0">
      <alignment horizontal="center" vertical="center"/>
    </xf>
    <xf numFmtId="2" fontId="0" fillId="4" borderId="1" applyAlignment="1" pivotButton="0" quotePrefix="0" xfId="0">
      <alignment horizontal="center" vertical="center"/>
    </xf>
    <xf numFmtId="2" fontId="0" fillId="3" borderId="1" applyAlignment="1" pivotButton="0" quotePrefix="0" xfId="0">
      <alignment horizontal="center" vertical="center"/>
    </xf>
    <xf numFmtId="2" fontId="0" fillId="5" borderId="1" applyAlignment="1" pivotButton="0" quotePrefix="0" xfId="0">
      <alignment horizontal="center" vertical="center"/>
    </xf>
    <xf numFmtId="164" fontId="0" fillId="0" borderId="0" applyAlignment="1" pivotButton="0" quotePrefix="0" xfId="0">
      <alignment horizontal="center" vertical="center"/>
    </xf>
    <xf numFmtId="164" fontId="2" fillId="0" borderId="2" applyAlignment="1" pivotButton="0" quotePrefix="0" xfId="1">
      <alignment horizontal="center" vertical="center"/>
    </xf>
    <xf numFmtId="0" fontId="0" fillId="0" borderId="2" applyAlignment="1" pivotButton="0" quotePrefix="0" xfId="0">
      <alignment horizontal="center" vertical="center"/>
    </xf>
    <xf numFmtId="164" fontId="2" fillId="0" borderId="0" applyAlignment="1" pivotButton="0" quotePrefix="0" xfId="1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3" applyAlignment="1" pivotButton="0" quotePrefix="0" xfId="0">
      <alignment horizontal="center" vertical="center"/>
    </xf>
    <xf numFmtId="0" fontId="1" fillId="0" borderId="14" applyAlignment="1" pivotButton="0" quotePrefix="0" xfId="0">
      <alignment horizontal="center" vertical="center"/>
    </xf>
    <xf numFmtId="2" fontId="0" fillId="0" borderId="0" applyAlignment="1" pivotButton="0" quotePrefix="0" xfId="0">
      <alignment horizontal="center" vertical="center"/>
    </xf>
    <xf numFmtId="1" fontId="0" fillId="0" borderId="0" applyAlignment="1" pivotButton="0" quotePrefix="0" xfId="0">
      <alignment horizontal="center" vertical="center"/>
    </xf>
    <xf numFmtId="0" fontId="4" fillId="8" borderId="11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" pivotButton="0" quotePrefix="0" xfId="0"/>
    <xf numFmtId="0" fontId="1" fillId="0" borderId="4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12" pivotButton="0" quotePrefix="0" xfId="0"/>
    <xf numFmtId="0" fontId="0" fillId="0" borderId="10" pivotButton="0" quotePrefix="0" xfId="0"/>
    <xf numFmtId="0" fontId="1" fillId="0" borderId="3" applyAlignment="1" pivotButton="0" quotePrefix="0" xfId="0">
      <alignment horizontal="center" vertical="center"/>
    </xf>
    <xf numFmtId="0" fontId="0" fillId="0" borderId="13" pivotButton="0" quotePrefix="0" xfId="0"/>
  </cellXfs>
  <cellStyles count="2">
    <cellStyle name="Normal" xfId="0" builtinId="0"/>
    <cellStyle name="Millares" xfId="1" builtinId="3"/>
  </cellStyles>
  <dxfs count="10">
    <dxf>
      <fill>
        <patternFill>
          <bgColor theme="7" tint="0.5999633777886288"/>
        </patternFill>
      </fill>
    </dxf>
    <dxf>
      <fill>
        <patternFill>
          <fgColor theme="1"/>
          <bgColor theme="8" tint="0.7999816888943144"/>
        </patternFill>
      </fill>
      <border>
        <left/>
        <right/>
        <top/>
        <bottom/>
        <vertical/>
        <horizontal/>
      </border>
    </dxf>
    <dxf>
      <font>
        <strike val="0"/>
      </font>
      <fill>
        <patternFill>
          <bgColor theme="9" tint="0.5999633777886288"/>
        </patternFill>
      </fill>
      <border>
        <left style="thin">
          <color auto="1"/>
        </left>
        <right/>
        <top/>
        <bottom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</border>
    </dxf>
    <dxf>
      <fill>
        <patternFill patternType="darkUp">
          <fgColor rgb="FFFF0000"/>
          <bgColor auto="1"/>
        </patternFill>
      </fill>
    </dxf>
    <dxf>
      <font>
        <strike val="0"/>
      </font>
      <fill>
        <patternFill>
          <bgColor theme="9" tint="0.5999633777886288"/>
        </patternFill>
      </fill>
      <border>
        <left style="thin">
          <color auto="1"/>
        </left>
        <right/>
        <top/>
        <bottom/>
        <vertical/>
        <horizontal/>
      </border>
    </dxf>
    <dxf>
      <fill>
        <patternFill>
          <bgColor theme="7" tint="0.5999633777886288"/>
        </patternFill>
      </fill>
    </dxf>
    <dxf>
      <fill>
        <patternFill>
          <fgColor theme="1"/>
          <bgColor theme="8" tint="0.7999816888943144"/>
        </patternFill>
      </fill>
      <border>
        <left/>
        <right/>
        <top/>
        <bottom/>
        <vertical/>
        <horizontal/>
      </border>
    </dxf>
    <dxf>
      <fill>
        <patternFill>
          <fgColor indexed="64"/>
          <bgColor auto="1"/>
        </patternFill>
      </fill>
      <border>
        <left/>
        <right/>
        <top/>
        <bottom/>
      </border>
    </dxf>
    <dxf>
      <fill>
        <patternFill patternType="darkUp">
          <fgColor rgb="FFFF0000"/>
          <bgColor auto="1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3"/>
  <sheetViews>
    <sheetView tabSelected="1" workbookViewId="0">
      <selection activeCell="O3" sqref="O3:P3"/>
    </sheetView>
  </sheetViews>
  <sheetFormatPr baseColWidth="10" defaultColWidth="8.88671875" defaultRowHeight="14.4"/>
  <cols>
    <col width="8.88671875" customWidth="1" style="12" min="1" max="1"/>
    <col width="8.88671875" customWidth="1" style="13" min="2" max="10"/>
    <col width="11.33203125" bestFit="1" customWidth="1" style="13" min="11" max="11"/>
    <col width="8.88671875" customWidth="1" style="13" min="12" max="12"/>
  </cols>
  <sheetData>
    <row r="1" ht="15" customHeight="1" thickBot="1">
      <c r="A1" s="27" t="inlineStr">
        <is>
          <t>#</t>
        </is>
      </c>
      <c r="B1" s="23" t="inlineStr">
        <is>
          <t>SUJETO</t>
        </is>
      </c>
      <c r="C1" s="23" t="inlineStr">
        <is>
          <t>VERSIÓN</t>
        </is>
      </c>
      <c r="D1" s="23" t="inlineStr">
        <is>
          <t>SAM</t>
        </is>
      </c>
      <c r="E1" s="25" t="n"/>
      <c r="F1" s="26" t="n"/>
      <c r="G1" s="23" t="inlineStr">
        <is>
          <t>REAL</t>
        </is>
      </c>
      <c r="H1" s="25" t="n"/>
      <c r="I1" s="26" t="n"/>
      <c r="J1" s="23" t="inlineStr">
        <is>
          <t>∆ SYS</t>
        </is>
      </c>
      <c r="K1" s="23" t="inlineStr">
        <is>
          <t>∆ DIA</t>
        </is>
      </c>
      <c r="L1" s="17" t="inlineStr">
        <is>
          <t>∆ PPM</t>
        </is>
      </c>
      <c r="N1" s="20" t="inlineStr">
        <is>
          <t>TOTAL</t>
        </is>
      </c>
      <c r="O1" s="27" t="inlineStr">
        <is>
          <t>∆ SYS</t>
        </is>
      </c>
      <c r="P1" s="23" t="inlineStr">
        <is>
          <t>∆ DIA</t>
        </is>
      </c>
      <c r="Q1" s="23" t="inlineStr">
        <is>
          <t>∆ PPM</t>
        </is>
      </c>
    </row>
    <row r="2" ht="15" customHeight="1" thickBot="1">
      <c r="A2" s="28" t="n"/>
      <c r="B2" s="24" t="n"/>
      <c r="C2" s="24" t="n"/>
      <c r="D2" s="3" t="inlineStr">
        <is>
          <t>SYS</t>
        </is>
      </c>
      <c r="E2" s="4" t="inlineStr">
        <is>
          <t>DIA</t>
        </is>
      </c>
      <c r="F2" s="5" t="inlineStr">
        <is>
          <t>PPM</t>
        </is>
      </c>
      <c r="G2" s="3" t="inlineStr">
        <is>
          <t>SYS</t>
        </is>
      </c>
      <c r="H2" s="4" t="inlineStr">
        <is>
          <t>DIA</t>
        </is>
      </c>
      <c r="I2" s="5" t="inlineStr">
        <is>
          <t>PPM</t>
        </is>
      </c>
      <c r="J2" s="3" t="inlineStr">
        <is>
          <t>mmHg</t>
        </is>
      </c>
      <c r="K2" s="4" t="inlineStr">
        <is>
          <t>mmHg</t>
        </is>
      </c>
      <c r="L2" s="6" t="inlineStr">
        <is>
          <t>PPM</t>
        </is>
      </c>
      <c r="N2" s="21" t="n"/>
      <c r="O2" s="7" t="inlineStr">
        <is>
          <t>mmHg</t>
        </is>
      </c>
      <c r="P2" s="4" t="inlineStr">
        <is>
          <t>mmHg</t>
        </is>
      </c>
      <c r="Q2" s="5" t="inlineStr">
        <is>
          <t>PPM</t>
        </is>
      </c>
    </row>
    <row r="3" ht="15" customHeight="1" thickBot="1">
      <c r="A3" s="11" t="n">
        <v>0</v>
      </c>
      <c r="B3" s="1" t="inlineStr">
        <is>
          <t>Andres</t>
        </is>
      </c>
      <c r="C3" s="1" t="n">
        <v>1</v>
      </c>
      <c r="D3" s="1" t="n">
        <v>104</v>
      </c>
      <c r="E3" s="1" t="n">
        <v>79</v>
      </c>
      <c r="F3" s="1" t="n">
        <v>102</v>
      </c>
      <c r="G3" s="1">
        <f>NA()</f>
        <v/>
      </c>
      <c r="H3" s="1">
        <f>NA()</f>
        <v/>
      </c>
      <c r="I3" s="1">
        <f>NA()</f>
        <v/>
      </c>
      <c r="J3" s="1">
        <f>IF(NOT(ISBLANK($A3)), ABS(G3-D3), "")</f>
        <v/>
      </c>
      <c r="K3" s="1">
        <f>IF(NOT(ISBLANK($A3)), ABS(H3-E3), "")</f>
        <v/>
      </c>
      <c r="L3" s="1">
        <f>IF(NOT(ISBLANK($A3)), ABS(I3-F3), "")</f>
        <v/>
      </c>
      <c r="N3" s="22" t="n"/>
      <c r="O3" s="8">
        <f>_xlfn.AGGREGATE(1,6,J3:J1048576)</f>
        <v/>
      </c>
      <c r="P3" s="9">
        <f>_xlfn.AGGREGATE(1,6,K3:K1048576)</f>
        <v/>
      </c>
      <c r="Q3" s="10">
        <f>_xlfn.AGGREGATE(1,6,L3:L1048576)</f>
        <v/>
      </c>
    </row>
    <row r="4">
      <c r="A4" s="11" t="n">
        <v>1</v>
      </c>
      <c r="B4" s="1" t="inlineStr">
        <is>
          <t>Andres</t>
        </is>
      </c>
      <c r="C4" s="1" t="n">
        <v>2</v>
      </c>
      <c r="D4" s="1" t="n">
        <v>114</v>
      </c>
      <c r="E4" s="1" t="n">
        <v>86</v>
      </c>
      <c r="F4" s="1" t="n">
        <v>94</v>
      </c>
      <c r="G4" s="1">
        <f>NA()</f>
        <v/>
      </c>
      <c r="H4" s="1">
        <f>NA()</f>
        <v/>
      </c>
      <c r="I4" s="1">
        <f>NA()</f>
        <v/>
      </c>
      <c r="J4" s="1">
        <f>IF(NOT(ISBLANK($A4)), ABS(G4-D4), "")</f>
        <v/>
      </c>
      <c r="K4" s="1">
        <f>IF(NOT(ISBLANK($A4)), ABS(H4-E4), "")</f>
        <v/>
      </c>
      <c r="L4" s="1">
        <f>IF(NOT(ISBLANK($A4)), ABS(I4-F4), "")</f>
        <v/>
      </c>
    </row>
    <row r="5">
      <c r="A5" s="11" t="n">
        <v>2</v>
      </c>
      <c r="B5" s="1" t="inlineStr">
        <is>
          <t>Andres</t>
        </is>
      </c>
      <c r="C5" s="1" t="n">
        <v>3</v>
      </c>
      <c r="D5" s="1" t="n">
        <v>123</v>
      </c>
      <c r="E5" s="1" t="n">
        <v>107</v>
      </c>
      <c r="F5" s="1" t="n">
        <v>96</v>
      </c>
      <c r="G5" s="1">
        <f>NA()</f>
        <v/>
      </c>
      <c r="H5" s="1">
        <f>NA()</f>
        <v/>
      </c>
      <c r="I5" s="1">
        <f>NA()</f>
        <v/>
      </c>
      <c r="J5" s="1">
        <f>IF(NOT(ISBLANK($A5)), ABS(G5-D5), "")</f>
        <v/>
      </c>
      <c r="K5" s="1">
        <f>IF(NOT(ISBLANK($A5)), ABS(H5-E5), "")</f>
        <v/>
      </c>
      <c r="L5" s="1">
        <f>IF(NOT(ISBLANK($A5)), ABS(I5-F5), "")</f>
        <v/>
      </c>
    </row>
    <row r="6">
      <c r="A6" s="11" t="n">
        <v>3</v>
      </c>
      <c r="B6" s="1" t="inlineStr">
        <is>
          <t>Andres</t>
        </is>
      </c>
      <c r="C6" s="1" t="n">
        <v>4</v>
      </c>
      <c r="D6" s="1" t="n">
        <v>126</v>
      </c>
      <c r="E6" s="1" t="n">
        <v>101</v>
      </c>
      <c r="F6" s="1" t="n">
        <v>100</v>
      </c>
      <c r="G6" s="1">
        <f>NA()</f>
        <v/>
      </c>
      <c r="H6" s="1">
        <f>NA()</f>
        <v/>
      </c>
      <c r="I6" s="1">
        <f>NA()</f>
        <v/>
      </c>
      <c r="J6" s="1">
        <f>IF(NOT(ISBLANK($A6)), ABS(G6-D6), "")</f>
        <v/>
      </c>
      <c r="K6" s="1">
        <f>IF(NOT(ISBLANK($A6)), ABS(H6-E6), "")</f>
        <v/>
      </c>
      <c r="L6" s="1">
        <f>IF(NOT(ISBLANK($A6)), ABS(I6-F6), "")</f>
        <v/>
      </c>
    </row>
    <row r="7">
      <c r="A7" s="11" t="n">
        <v>4</v>
      </c>
      <c r="B7" s="1" t="inlineStr">
        <is>
          <t>Andres</t>
        </is>
      </c>
      <c r="C7" s="1" t="n">
        <v>5</v>
      </c>
      <c r="D7" s="1" t="n">
        <v>110</v>
      </c>
      <c r="E7" s="1" t="n">
        <v>87</v>
      </c>
      <c r="F7" s="1" t="n">
        <v>72</v>
      </c>
      <c r="G7" s="1">
        <f>NA()</f>
        <v/>
      </c>
      <c r="H7" s="1">
        <f>NA()</f>
        <v/>
      </c>
      <c r="I7" s="1">
        <f>NA()</f>
        <v/>
      </c>
      <c r="J7" s="1">
        <f>IF(NOT(ISBLANK($A7)), ABS(G7-D7), "")</f>
        <v/>
      </c>
      <c r="K7" s="1">
        <f>IF(NOT(ISBLANK($A7)), ABS(H7-E7), "")</f>
        <v/>
      </c>
      <c r="L7" s="1">
        <f>IF(NOT(ISBLANK($A7)), ABS(I7-F7), "")</f>
        <v/>
      </c>
    </row>
    <row r="8">
      <c r="A8" s="11" t="n">
        <v>5</v>
      </c>
      <c r="B8" s="1" t="inlineStr">
        <is>
          <t>Andres</t>
        </is>
      </c>
      <c r="C8" s="1" t="n">
        <v>6</v>
      </c>
      <c r="D8" s="1" t="n">
        <v>133</v>
      </c>
      <c r="E8" s="1" t="n">
        <v>87</v>
      </c>
      <c r="F8" s="1" t="n">
        <v>76</v>
      </c>
      <c r="G8" s="1">
        <f>NA()</f>
        <v/>
      </c>
      <c r="H8" s="1">
        <f>NA()</f>
        <v/>
      </c>
      <c r="I8" s="1">
        <f>NA()</f>
        <v/>
      </c>
      <c r="J8" s="1">
        <f>IF(NOT(ISBLANK($A8)), ABS(G8-D8), "")</f>
        <v/>
      </c>
      <c r="K8" s="1">
        <f>IF(NOT(ISBLANK($A8)), ABS(H8-E8), "")</f>
        <v/>
      </c>
      <c r="L8" s="1">
        <f>IF(NOT(ISBLANK($A8)), ABS(I8-F8), "")</f>
        <v/>
      </c>
    </row>
    <row r="9">
      <c r="A9" s="11" t="n">
        <v>6</v>
      </c>
      <c r="B9" s="1" t="inlineStr">
        <is>
          <t>Andres</t>
        </is>
      </c>
      <c r="C9" s="1" t="n">
        <v>7</v>
      </c>
      <c r="D9" s="1" t="n">
        <v>126</v>
      </c>
      <c r="E9" s="1" t="n">
        <v>84</v>
      </c>
      <c r="F9" s="1" t="n">
        <v>76</v>
      </c>
      <c r="G9" s="1">
        <f>NA()</f>
        <v/>
      </c>
      <c r="H9" s="1">
        <f>NA()</f>
        <v/>
      </c>
      <c r="I9" s="1">
        <f>NA()</f>
        <v/>
      </c>
      <c r="J9" s="1">
        <f>IF(NOT(ISBLANK($A9)), ABS(G9-D9), "")</f>
        <v/>
      </c>
      <c r="K9" s="1">
        <f>IF(NOT(ISBLANK($A9)), ABS(H9-E9), "")</f>
        <v/>
      </c>
      <c r="L9" s="1">
        <f>IF(NOT(ISBLANK($A9)), ABS(I9-F9), "")</f>
        <v/>
      </c>
    </row>
    <row r="10">
      <c r="A10" s="11" t="n">
        <v>7</v>
      </c>
      <c r="B10" s="1" t="inlineStr">
        <is>
          <t>Andres</t>
        </is>
      </c>
      <c r="C10" s="1" t="n">
        <v>8</v>
      </c>
      <c r="D10" s="1" t="n">
        <v>117</v>
      </c>
      <c r="E10" s="1" t="n">
        <v>86</v>
      </c>
      <c r="F10" s="1" t="n">
        <v>79</v>
      </c>
      <c r="G10" s="1">
        <f>NA()</f>
        <v/>
      </c>
      <c r="H10" s="1">
        <f>NA()</f>
        <v/>
      </c>
      <c r="I10" s="1">
        <f>NA()</f>
        <v/>
      </c>
      <c r="J10" s="1">
        <f>IF(NOT(ISBLANK($A10)), ABS(G10-D10), "")</f>
        <v/>
      </c>
      <c r="K10" s="1">
        <f>IF(NOT(ISBLANK($A10)), ABS(H10-E10), "")</f>
        <v/>
      </c>
      <c r="L10" s="1">
        <f>IF(NOT(ISBLANK($A10)), ABS(I10-F10), "")</f>
        <v/>
      </c>
    </row>
    <row r="11">
      <c r="A11" s="11" t="n">
        <v>8</v>
      </c>
      <c r="B11" s="1" t="inlineStr">
        <is>
          <t>Andres</t>
        </is>
      </c>
      <c r="C11" s="1" t="n">
        <v>9</v>
      </c>
      <c r="D11" s="1" t="n">
        <v>130</v>
      </c>
      <c r="E11" s="1" t="n">
        <v>80</v>
      </c>
      <c r="F11" s="1" t="n">
        <v>75</v>
      </c>
      <c r="G11" s="1">
        <f>NA()</f>
        <v/>
      </c>
      <c r="H11" s="1">
        <f>NA()</f>
        <v/>
      </c>
      <c r="I11" s="1">
        <f>NA()</f>
        <v/>
      </c>
      <c r="J11" s="1">
        <f>IF(NOT(ISBLANK($A11)), ABS(G11-D11), "")</f>
        <v/>
      </c>
      <c r="K11" s="1">
        <f>IF(NOT(ISBLANK($A11)), ABS(H11-E11), "")</f>
        <v/>
      </c>
      <c r="L11" s="1">
        <f>IF(NOT(ISBLANK($A11)), ABS(I11-F11), "")</f>
        <v/>
      </c>
    </row>
    <row r="12">
      <c r="A12" s="11" t="n">
        <v>9</v>
      </c>
      <c r="B12" s="1" t="inlineStr">
        <is>
          <t>Andres</t>
        </is>
      </c>
      <c r="C12" s="1" t="n">
        <v>10</v>
      </c>
      <c r="D12" s="1" t="n">
        <v>134</v>
      </c>
      <c r="E12" s="1" t="n">
        <v>94</v>
      </c>
      <c r="F12" s="1" t="n">
        <v>74</v>
      </c>
      <c r="G12" s="1">
        <f>NA()</f>
        <v/>
      </c>
      <c r="H12" s="1">
        <f>NA()</f>
        <v/>
      </c>
      <c r="I12" s="1">
        <f>NA()</f>
        <v/>
      </c>
      <c r="J12" s="1">
        <f>IF(NOT(ISBLANK($A12)), ABS(G12-D12), "")</f>
        <v/>
      </c>
      <c r="K12" s="1">
        <f>IF(NOT(ISBLANK($A12)), ABS(H12-E12), "")</f>
        <v/>
      </c>
      <c r="L12" s="1">
        <f>IF(NOT(ISBLANK($A12)), ABS(I12-F12), "")</f>
        <v/>
      </c>
    </row>
    <row r="13">
      <c r="A13" s="11" t="n">
        <v>10</v>
      </c>
      <c r="B13" s="1" t="inlineStr">
        <is>
          <t>Andres</t>
        </is>
      </c>
      <c r="C13" s="1" t="n">
        <v>11</v>
      </c>
      <c r="D13" s="1">
        <f>NA()</f>
        <v/>
      </c>
      <c r="E13" s="1">
        <f>NA()</f>
        <v/>
      </c>
      <c r="F13" s="1">
        <f>NA()</f>
        <v/>
      </c>
      <c r="G13" s="1" t="n">
        <v>126</v>
      </c>
      <c r="H13" s="1" t="n">
        <v>85</v>
      </c>
      <c r="I13" s="1" t="n">
        <v>71</v>
      </c>
      <c r="J13" s="1">
        <f>IF(NOT(ISBLANK($A13)), ABS(G13-D13), "")</f>
        <v/>
      </c>
      <c r="K13" s="1">
        <f>IF(NOT(ISBLANK($A13)), ABS(H13-E13), "")</f>
        <v/>
      </c>
      <c r="L13" s="1">
        <f>IF(NOT(ISBLANK($A13)), ABS(I13-F13), "")</f>
        <v/>
      </c>
    </row>
    <row r="14">
      <c r="A14" s="11" t="n">
        <v>11</v>
      </c>
      <c r="B14" s="1" t="inlineStr">
        <is>
          <t>Andres</t>
        </is>
      </c>
      <c r="C14" s="1" t="n">
        <v>12</v>
      </c>
      <c r="D14" s="1" t="n">
        <v>124</v>
      </c>
      <c r="E14" s="1" t="n">
        <v>73</v>
      </c>
      <c r="F14" s="1" t="n">
        <v>65</v>
      </c>
      <c r="G14" s="1" t="n">
        <v>120</v>
      </c>
      <c r="H14" s="1" t="n">
        <v>74</v>
      </c>
      <c r="I14" s="1" t="n">
        <v>66</v>
      </c>
      <c r="J14" s="1">
        <f>IF(NOT(ISBLANK($A14)), ABS(G14-D14), "")</f>
        <v/>
      </c>
      <c r="K14" s="1">
        <f>IF(NOT(ISBLANK($A14)), ABS(H14-E14), "")</f>
        <v/>
      </c>
      <c r="L14" s="1">
        <f>IF(NOT(ISBLANK($A14)), ABS(I14-F14), "")</f>
        <v/>
      </c>
    </row>
    <row r="15">
      <c r="A15" s="11" t="n">
        <v>12</v>
      </c>
      <c r="B15" s="1" t="inlineStr">
        <is>
          <t>Andres</t>
        </is>
      </c>
      <c r="C15" s="1" t="n">
        <v>13</v>
      </c>
      <c r="D15" s="1" t="n">
        <v>120</v>
      </c>
      <c r="E15" s="1" t="n">
        <v>63</v>
      </c>
      <c r="F15" s="1" t="n">
        <v>73</v>
      </c>
      <c r="G15" s="1" t="n">
        <v>135</v>
      </c>
      <c r="H15" s="1" t="n">
        <v>69</v>
      </c>
      <c r="I15" s="1" t="n">
        <v>66</v>
      </c>
      <c r="J15" s="1">
        <f>IF(NOT(ISBLANK($A15)), ABS(G15-D15), "")</f>
        <v/>
      </c>
      <c r="K15" s="1">
        <f>IF(NOT(ISBLANK($A15)), ABS(H15-E15), "")</f>
        <v/>
      </c>
      <c r="L15" s="1">
        <f>IF(NOT(ISBLANK($A15)), ABS(I15-F15), "")</f>
        <v/>
      </c>
    </row>
    <row r="16">
      <c r="A16" s="11" t="n">
        <v>13</v>
      </c>
      <c r="B16" s="1" t="inlineStr">
        <is>
          <t>Andres</t>
        </is>
      </c>
      <c r="C16" s="1" t="n">
        <v>14</v>
      </c>
      <c r="D16" s="1" t="n">
        <v>105</v>
      </c>
      <c r="E16" s="1" t="n">
        <v>73</v>
      </c>
      <c r="F16" s="1" t="n">
        <v>65</v>
      </c>
      <c r="G16" s="1" t="n">
        <v>117</v>
      </c>
      <c r="H16" s="1" t="n">
        <v>70</v>
      </c>
      <c r="I16" s="1" t="n">
        <v>67</v>
      </c>
      <c r="J16" s="1">
        <f>IF(NOT(ISBLANK($A16)), ABS(G16-D16), "")</f>
        <v/>
      </c>
      <c r="K16" s="1">
        <f>IF(NOT(ISBLANK($A16)), ABS(H16-E16), "")</f>
        <v/>
      </c>
      <c r="L16" s="1">
        <f>IF(NOT(ISBLANK($A16)), ABS(I16-F16), "")</f>
        <v/>
      </c>
    </row>
    <row r="17">
      <c r="A17" s="11" t="n">
        <v>14</v>
      </c>
      <c r="B17" s="1" t="inlineStr">
        <is>
          <t>Andres</t>
        </is>
      </c>
      <c r="C17" s="1" t="n">
        <v>15</v>
      </c>
      <c r="D17" s="1" t="n">
        <v>119</v>
      </c>
      <c r="E17" s="1" t="n">
        <v>63</v>
      </c>
      <c r="F17" s="1" t="n">
        <v>76</v>
      </c>
      <c r="G17" s="1" t="n">
        <v>123</v>
      </c>
      <c r="H17" s="1" t="n">
        <v>74</v>
      </c>
      <c r="I17" s="1" t="n">
        <v>70</v>
      </c>
      <c r="J17" s="1">
        <f>IF(NOT(ISBLANK($A17)), ABS(G17-D17), "")</f>
        <v/>
      </c>
      <c r="K17" s="1">
        <f>IF(NOT(ISBLANK($A17)), ABS(H17-E17), "")</f>
        <v/>
      </c>
      <c r="L17" s="1">
        <f>IF(NOT(ISBLANK($A17)), ABS(I17-F17), "")</f>
        <v/>
      </c>
    </row>
    <row r="18">
      <c r="A18" s="11" t="n">
        <v>15</v>
      </c>
      <c r="B18" s="1" t="inlineStr">
        <is>
          <t>Andres</t>
        </is>
      </c>
      <c r="C18" s="1" t="n">
        <v>16</v>
      </c>
      <c r="D18" s="1" t="n">
        <v>106</v>
      </c>
      <c r="E18" s="1" t="n">
        <v>67</v>
      </c>
      <c r="F18" s="1" t="n">
        <v>68</v>
      </c>
      <c r="G18" s="1" t="n">
        <v>134</v>
      </c>
      <c r="H18" s="1" t="n">
        <v>78</v>
      </c>
      <c r="I18" s="1" t="n">
        <v>70</v>
      </c>
      <c r="J18" s="1">
        <f>IF(NOT(ISBLANK($A18)), ABS(G18-D18), "")</f>
        <v/>
      </c>
      <c r="K18" s="1">
        <f>IF(NOT(ISBLANK($A18)), ABS(H18-E18), "")</f>
        <v/>
      </c>
      <c r="L18" s="1">
        <f>IF(NOT(ISBLANK($A18)), ABS(I18-F18), "")</f>
        <v/>
      </c>
    </row>
    <row r="19">
      <c r="A19" s="11" t="n">
        <v>16</v>
      </c>
      <c r="B19" s="1" t="inlineStr">
        <is>
          <t>Andres</t>
        </is>
      </c>
      <c r="C19" s="1" t="n">
        <v>17</v>
      </c>
      <c r="D19" s="1" t="n">
        <v>131</v>
      </c>
      <c r="E19" s="1" t="n">
        <v>76</v>
      </c>
      <c r="F19" s="1" t="n">
        <v>74</v>
      </c>
      <c r="G19" s="1" t="n">
        <v>136</v>
      </c>
      <c r="H19" s="1" t="n">
        <v>79</v>
      </c>
      <c r="I19" s="1" t="n">
        <v>69</v>
      </c>
      <c r="J19" s="1">
        <f>IF(NOT(ISBLANK($A19)), ABS(G19-D19), "")</f>
        <v/>
      </c>
      <c r="K19" s="1">
        <f>IF(NOT(ISBLANK($A19)), ABS(H19-E19), "")</f>
        <v/>
      </c>
      <c r="L19" s="1">
        <f>IF(NOT(ISBLANK($A19)), ABS(I19-F19), "")</f>
        <v/>
      </c>
    </row>
    <row r="20">
      <c r="A20" s="11" t="n">
        <v>17</v>
      </c>
      <c r="B20" s="1" t="inlineStr">
        <is>
          <t>Andres</t>
        </is>
      </c>
      <c r="C20" s="1" t="n">
        <v>18</v>
      </c>
      <c r="D20" s="1" t="n">
        <v>133</v>
      </c>
      <c r="E20" s="1" t="n">
        <v>71</v>
      </c>
      <c r="F20" s="1" t="n">
        <v>96</v>
      </c>
      <c r="G20" s="1" t="n">
        <v>135</v>
      </c>
      <c r="H20" s="1" t="n">
        <v>81</v>
      </c>
      <c r="I20" s="1" t="n">
        <v>79</v>
      </c>
      <c r="J20" s="1">
        <f>IF(NOT(ISBLANK($A20)), ABS(G20-D20), "")</f>
        <v/>
      </c>
      <c r="K20" s="1">
        <f>IF(NOT(ISBLANK($A20)), ABS(H20-E20), "")</f>
        <v/>
      </c>
      <c r="L20" s="1">
        <f>IF(NOT(ISBLANK($A20)), ABS(I20-F20), "")</f>
        <v/>
      </c>
    </row>
    <row r="21">
      <c r="A21" s="11" t="n">
        <v>18</v>
      </c>
      <c r="B21" s="1" t="inlineStr">
        <is>
          <t>Andres</t>
        </is>
      </c>
      <c r="C21" s="1" t="n">
        <v>19</v>
      </c>
      <c r="D21" s="1" t="n">
        <v>127</v>
      </c>
      <c r="E21" s="1" t="n">
        <v>89</v>
      </c>
      <c r="F21" s="1" t="n">
        <v>75</v>
      </c>
      <c r="G21" s="1" t="n">
        <v>144</v>
      </c>
      <c r="H21" s="1" t="n">
        <v>86</v>
      </c>
      <c r="I21" s="1" t="n">
        <v>78</v>
      </c>
      <c r="J21" s="1">
        <f>IF(NOT(ISBLANK($A21)), ABS(G21-D21), "")</f>
        <v/>
      </c>
      <c r="K21" s="1">
        <f>IF(NOT(ISBLANK($A21)), ABS(H21-E21), "")</f>
        <v/>
      </c>
      <c r="L21" s="1">
        <f>IF(NOT(ISBLANK($A21)), ABS(I21-F21), "")</f>
        <v/>
      </c>
    </row>
    <row r="22">
      <c r="A22" s="11" t="n">
        <v>19</v>
      </c>
      <c r="B22" s="1" t="inlineStr">
        <is>
          <t>Andres</t>
        </is>
      </c>
      <c r="C22" s="1" t="n">
        <v>20</v>
      </c>
      <c r="D22" s="1" t="n">
        <v>122</v>
      </c>
      <c r="E22" s="1" t="n">
        <v>91</v>
      </c>
      <c r="F22" s="1" t="n">
        <v>84</v>
      </c>
      <c r="G22" s="1" t="n">
        <v>131</v>
      </c>
      <c r="H22" s="1" t="n">
        <v>77</v>
      </c>
      <c r="I22" s="1" t="n">
        <v>72</v>
      </c>
      <c r="J22" s="1">
        <f>IF(NOT(ISBLANK($A22)), ABS(G22-D22), "")</f>
        <v/>
      </c>
      <c r="K22" s="1">
        <f>IF(NOT(ISBLANK($A22)), ABS(H22-E22), "")</f>
        <v/>
      </c>
      <c r="L22" s="1">
        <f>IF(NOT(ISBLANK($A22)), ABS(I22-F22), "")</f>
        <v/>
      </c>
    </row>
    <row r="23">
      <c r="A23" s="11" t="n">
        <v>20</v>
      </c>
      <c r="B23" s="1" t="inlineStr">
        <is>
          <t>Andres</t>
        </is>
      </c>
      <c r="C23" s="1" t="n">
        <v>21</v>
      </c>
      <c r="D23" s="1" t="n">
        <v>119</v>
      </c>
      <c r="E23" s="1" t="n">
        <v>80</v>
      </c>
      <c r="F23" s="1" t="n">
        <v>78</v>
      </c>
      <c r="G23" s="1" t="n">
        <v>130</v>
      </c>
      <c r="H23" s="1" t="n">
        <v>85</v>
      </c>
      <c r="I23" s="1" t="n">
        <v>67</v>
      </c>
      <c r="J23" s="1">
        <f>IF(NOT(ISBLANK($A23)), ABS(G23-D23), "")</f>
        <v/>
      </c>
      <c r="K23" s="1">
        <f>IF(NOT(ISBLANK($A23)), ABS(H23-E23), "")</f>
        <v/>
      </c>
      <c r="L23" s="1">
        <f>IF(NOT(ISBLANK($A23)), ABS(I23-F23), "")</f>
        <v/>
      </c>
      <c r="N23" s="2" t="n"/>
    </row>
    <row r="24">
      <c r="A24" s="11" t="n">
        <v>21</v>
      </c>
      <c r="B24" s="1" t="inlineStr">
        <is>
          <t>Andres</t>
        </is>
      </c>
      <c r="C24" s="1" t="n">
        <v>22</v>
      </c>
      <c r="D24" s="1" t="n">
        <v>119</v>
      </c>
      <c r="E24" s="1" t="n">
        <v>84</v>
      </c>
      <c r="F24" s="1" t="n">
        <v>81</v>
      </c>
      <c r="G24" s="1" t="n">
        <v>131</v>
      </c>
      <c r="H24" s="1" t="n">
        <v>86</v>
      </c>
      <c r="I24" s="1" t="n">
        <v>68</v>
      </c>
      <c r="J24" s="1">
        <f>IF(NOT(ISBLANK($A24)), ABS(G24-D24), "")</f>
        <v/>
      </c>
      <c r="K24" s="1">
        <f>IF(NOT(ISBLANK($A24)), ABS(H24-E24), "")</f>
        <v/>
      </c>
      <c r="L24" s="1">
        <f>IF(NOT(ISBLANK($A24)), ABS(I24-F24), "")</f>
        <v/>
      </c>
    </row>
    <row r="25">
      <c r="A25" s="11" t="n">
        <v>22</v>
      </c>
      <c r="B25" s="1" t="inlineStr">
        <is>
          <t>Andres</t>
        </is>
      </c>
      <c r="C25" s="1" t="n">
        <v>23</v>
      </c>
      <c r="D25" s="1" t="n">
        <v>152</v>
      </c>
      <c r="E25" s="1" t="n">
        <v>90</v>
      </c>
      <c r="F25" s="1" t="n">
        <v>89</v>
      </c>
      <c r="G25" s="1" t="n">
        <v>127</v>
      </c>
      <c r="H25" s="1" t="n">
        <v>82</v>
      </c>
      <c r="I25" s="1" t="n">
        <v>61</v>
      </c>
      <c r="J25" s="1">
        <f>IF(NOT(ISBLANK($A25)), ABS(G25-D25), "")</f>
        <v/>
      </c>
      <c r="K25" s="1">
        <f>IF(NOT(ISBLANK($A25)), ABS(H25-E25), "")</f>
        <v/>
      </c>
      <c r="L25" s="1">
        <f>IF(NOT(ISBLANK($A25)), ABS(I25-F25), "")</f>
        <v/>
      </c>
    </row>
    <row r="26">
      <c r="A26" s="11" t="n">
        <v>23</v>
      </c>
      <c r="B26" s="1" t="inlineStr">
        <is>
          <t>Andres</t>
        </is>
      </c>
      <c r="C26" s="1" t="n">
        <v>24</v>
      </c>
      <c r="D26" s="1" t="n">
        <v>124</v>
      </c>
      <c r="E26" s="1" t="n">
        <v>83</v>
      </c>
      <c r="F26" s="1" t="n">
        <v>77</v>
      </c>
      <c r="G26" s="1" t="n">
        <v>132</v>
      </c>
      <c r="H26" s="1" t="n">
        <v>80</v>
      </c>
      <c r="I26" s="1" t="n">
        <v>57</v>
      </c>
      <c r="J26" s="1">
        <f>IF(NOT(ISBLANK($A26)), ABS(G26-D26), "")</f>
        <v/>
      </c>
      <c r="K26" s="1">
        <f>IF(NOT(ISBLANK($A26)), ABS(H26-E26), "")</f>
        <v/>
      </c>
      <c r="L26" s="1">
        <f>IF(NOT(ISBLANK($A26)), ABS(I26-F26), "")</f>
        <v/>
      </c>
    </row>
    <row r="27">
      <c r="A27" s="11" t="n">
        <v>24</v>
      </c>
      <c r="B27" s="1" t="inlineStr">
        <is>
          <t>Andres</t>
        </is>
      </c>
      <c r="C27" s="1" t="n">
        <v>25</v>
      </c>
      <c r="D27" s="1" t="n">
        <v>133</v>
      </c>
      <c r="E27" s="1" t="n">
        <v>94</v>
      </c>
      <c r="F27" s="1" t="n">
        <v>78</v>
      </c>
      <c r="G27" s="1" t="n">
        <v>129</v>
      </c>
      <c r="H27" s="1" t="n">
        <v>80</v>
      </c>
      <c r="I27" s="1" t="n">
        <v>64</v>
      </c>
      <c r="J27" s="1">
        <f>IF(NOT(ISBLANK($A27)), ABS(G27-D27), "")</f>
        <v/>
      </c>
      <c r="K27" s="1">
        <f>IF(NOT(ISBLANK($A27)), ABS(H27-E27), "")</f>
        <v/>
      </c>
      <c r="L27" s="1">
        <f>IF(NOT(ISBLANK($A27)), ABS(I27-F27), "")</f>
        <v/>
      </c>
    </row>
    <row r="28">
      <c r="A28" s="11" t="n">
        <v>25</v>
      </c>
      <c r="B28" s="1" t="inlineStr">
        <is>
          <t>Andres</t>
        </is>
      </c>
      <c r="C28" s="1" t="n">
        <v>26</v>
      </c>
      <c r="D28" s="1" t="n">
        <v>120</v>
      </c>
      <c r="E28" s="1" t="n">
        <v>81</v>
      </c>
      <c r="F28" s="1" t="n">
        <v>125</v>
      </c>
      <c r="G28" s="1" t="n">
        <v>120</v>
      </c>
      <c r="H28" s="1" t="n">
        <v>82</v>
      </c>
      <c r="I28" s="1" t="n">
        <v>104</v>
      </c>
      <c r="J28" s="1">
        <f>IF(NOT(ISBLANK($A28)), ABS(G28-D28), "")</f>
        <v/>
      </c>
      <c r="K28" s="1">
        <f>IF(NOT(ISBLANK($A28)), ABS(H28-E28), "")</f>
        <v/>
      </c>
      <c r="L28" s="1">
        <f>IF(NOT(ISBLANK($A28)), ABS(I28-F28), "")</f>
        <v/>
      </c>
    </row>
    <row r="29">
      <c r="A29" s="11" t="n">
        <v>26</v>
      </c>
      <c r="B29" s="1" t="inlineStr">
        <is>
          <t>Andres</t>
        </is>
      </c>
      <c r="C29" s="1" t="n">
        <v>27</v>
      </c>
      <c r="D29" s="1" t="n">
        <v>148</v>
      </c>
      <c r="E29" s="1" t="n">
        <v>81</v>
      </c>
      <c r="F29" s="1" t="n">
        <v>126</v>
      </c>
      <c r="G29" s="1" t="n">
        <v>123</v>
      </c>
      <c r="H29" s="1" t="n">
        <v>77</v>
      </c>
      <c r="I29" s="1" t="n">
        <v>108</v>
      </c>
      <c r="J29" s="1">
        <f>IF(NOT(ISBLANK($A29)), ABS(G29-D29), "")</f>
        <v/>
      </c>
      <c r="K29" s="1">
        <f>IF(NOT(ISBLANK($A29)), ABS(H29-E29), "")</f>
        <v/>
      </c>
      <c r="L29" s="1">
        <f>IF(NOT(ISBLANK($A29)), ABS(I29-F29), "")</f>
        <v/>
      </c>
    </row>
    <row r="30">
      <c r="A30" s="11" t="n">
        <v>27</v>
      </c>
      <c r="B30" s="1" t="inlineStr">
        <is>
          <t>Andres</t>
        </is>
      </c>
      <c r="C30" s="1" t="n">
        <v>28</v>
      </c>
      <c r="D30" s="1" t="n">
        <v>117</v>
      </c>
      <c r="E30" s="1" t="n">
        <v>83</v>
      </c>
      <c r="F30" s="1" t="n">
        <v>94</v>
      </c>
      <c r="G30" s="1" t="n">
        <v>102</v>
      </c>
      <c r="H30" s="1" t="n">
        <v>72</v>
      </c>
      <c r="I30" s="1" t="n">
        <v>79</v>
      </c>
      <c r="J30" s="1">
        <f>IF(NOT(ISBLANK($A30)), ABS(G30-D30), "")</f>
        <v/>
      </c>
      <c r="K30" s="1">
        <f>IF(NOT(ISBLANK($A30)), ABS(H30-E30), "")</f>
        <v/>
      </c>
      <c r="L30" s="1">
        <f>IF(NOT(ISBLANK($A30)), ABS(I30-F30), "")</f>
        <v/>
      </c>
    </row>
    <row r="31">
      <c r="A31" s="11" t="n">
        <v>28</v>
      </c>
      <c r="B31" s="1" t="inlineStr">
        <is>
          <t>Angel</t>
        </is>
      </c>
      <c r="C31" s="1" t="n">
        <v>1</v>
      </c>
      <c r="D31" s="1" t="n">
        <v>121</v>
      </c>
      <c r="E31" s="1" t="n">
        <v>81</v>
      </c>
      <c r="F31" s="1" t="n">
        <v>87</v>
      </c>
      <c r="G31" s="1" t="n">
        <v>110</v>
      </c>
      <c r="H31" s="1" t="n">
        <v>71</v>
      </c>
      <c r="I31" s="1" t="n">
        <v>78</v>
      </c>
      <c r="J31" s="1">
        <f>IF(NOT(ISBLANK($A31)), ABS(G31-D31), "")</f>
        <v/>
      </c>
      <c r="K31" s="1">
        <f>IF(NOT(ISBLANK($A31)), ABS(H31-E31), "")</f>
        <v/>
      </c>
      <c r="L31" s="1">
        <f>IF(NOT(ISBLANK($A31)), ABS(I31-F31), "")</f>
        <v/>
      </c>
    </row>
    <row r="32">
      <c r="A32" s="14" t="n">
        <v>29</v>
      </c>
      <c r="B32" s="1" t="inlineStr">
        <is>
          <t>Angel</t>
        </is>
      </c>
      <c r="C32" s="1" t="n">
        <v>2</v>
      </c>
      <c r="D32" s="1" t="n">
        <v>102</v>
      </c>
      <c r="E32" s="1" t="n">
        <v>79</v>
      </c>
      <c r="F32" s="1" t="n">
        <v>91</v>
      </c>
      <c r="G32" s="1" t="n">
        <v>109</v>
      </c>
      <c r="H32" s="1" t="n">
        <v>68</v>
      </c>
      <c r="I32" s="1" t="n">
        <v>75</v>
      </c>
      <c r="J32" s="1">
        <f>IF(NOT(ISBLANK($A32)), ABS(G32-D32), "")</f>
        <v/>
      </c>
      <c r="K32" s="1">
        <f>IF(NOT(ISBLANK($A32)), ABS(H32-E32), "")</f>
        <v/>
      </c>
      <c r="L32" s="1">
        <f>IF(NOT(ISBLANK($A32)), ABS(I32-F32), "")</f>
        <v/>
      </c>
    </row>
    <row r="33">
      <c r="A33" s="11" t="n">
        <v>30</v>
      </c>
      <c r="B33" s="1" t="inlineStr">
        <is>
          <t>Angel</t>
        </is>
      </c>
      <c r="C33" s="1" t="n">
        <v>3</v>
      </c>
      <c r="D33" s="1" t="n">
        <v>143</v>
      </c>
      <c r="E33" s="1" t="n">
        <v>95</v>
      </c>
      <c r="F33" s="1" t="n">
        <v>88</v>
      </c>
      <c r="G33" s="1" t="n">
        <v>116</v>
      </c>
      <c r="H33" s="1" t="n">
        <v>76</v>
      </c>
      <c r="I33" s="1" t="n">
        <v>72</v>
      </c>
      <c r="J33" s="1">
        <f>IF(NOT(ISBLANK($A33)), ABS(G33-D33), "")</f>
        <v/>
      </c>
      <c r="K33" s="1">
        <f>IF(NOT(ISBLANK($A33)), ABS(H33-E33), "")</f>
        <v/>
      </c>
      <c r="L33" s="1">
        <f>IF(NOT(ISBLANK($A33)), ABS(I33-F33), "")</f>
        <v/>
      </c>
    </row>
    <row r="34">
      <c r="A34" s="11" t="n">
        <v>31</v>
      </c>
      <c r="B34" s="1" t="inlineStr">
        <is>
          <t>Carla</t>
        </is>
      </c>
      <c r="C34" s="1" t="n">
        <v>1</v>
      </c>
      <c r="D34" s="1" t="n">
        <v>118</v>
      </c>
      <c r="E34" s="1" t="n">
        <v>74</v>
      </c>
      <c r="F34" s="1" t="n">
        <v>73</v>
      </c>
      <c r="G34" s="1" t="n">
        <v>106</v>
      </c>
      <c r="H34" s="1" t="n">
        <v>66</v>
      </c>
      <c r="I34" s="1" t="n">
        <v>56</v>
      </c>
      <c r="J34" s="1">
        <f>IF(NOT(ISBLANK($A34)), ABS(G34-D34), "")</f>
        <v/>
      </c>
      <c r="K34" s="1">
        <f>IF(NOT(ISBLANK($A34)), ABS(H34-E34), "")</f>
        <v/>
      </c>
      <c r="L34" s="1">
        <f>IF(NOT(ISBLANK($A34)), ABS(I34-F34), "")</f>
        <v/>
      </c>
    </row>
    <row r="35">
      <c r="A35" s="11" t="n">
        <v>32</v>
      </c>
      <c r="B35" s="1" t="inlineStr">
        <is>
          <t>Gabriel</t>
        </is>
      </c>
      <c r="C35" s="1" t="n">
        <v>1</v>
      </c>
      <c r="D35" s="1" t="n">
        <v>131</v>
      </c>
      <c r="E35" s="1" t="n">
        <v>77</v>
      </c>
      <c r="F35" s="1" t="n">
        <v>77</v>
      </c>
      <c r="G35" s="1" t="n">
        <v>134</v>
      </c>
      <c r="H35" s="1" t="n">
        <v>85</v>
      </c>
      <c r="I35" s="1" t="n">
        <v>64</v>
      </c>
      <c r="J35" s="1">
        <f>IF(NOT(ISBLANK($A35)), ABS(G35-D35), "")</f>
        <v/>
      </c>
      <c r="K35" s="1">
        <f>IF(NOT(ISBLANK($A35)), ABS(H35-E35), "")</f>
        <v/>
      </c>
      <c r="L35" s="1">
        <f>IF(NOT(ISBLANK($A35)), ABS(I35-F35), "")</f>
        <v/>
      </c>
    </row>
    <row r="36">
      <c r="A36" s="11" t="n">
        <v>33</v>
      </c>
      <c r="B36" s="1" t="inlineStr">
        <is>
          <t>Gorka</t>
        </is>
      </c>
      <c r="C36" s="1" t="n">
        <v>1</v>
      </c>
      <c r="D36" s="1" t="n">
        <v>99</v>
      </c>
      <c r="E36" s="1" t="n">
        <v>68</v>
      </c>
      <c r="F36" s="1" t="n">
        <v>70</v>
      </c>
      <c r="G36" s="1" t="n">
        <v>119</v>
      </c>
      <c r="H36" s="1" t="n">
        <v>59</v>
      </c>
      <c r="I36" s="1" t="n">
        <v>62</v>
      </c>
      <c r="J36" s="1">
        <f>IF(NOT(ISBLANK($A36)), ABS(G36-D36), "")</f>
        <v/>
      </c>
      <c r="K36" s="1">
        <f>IF(NOT(ISBLANK($A36)), ABS(H36-E36), "")</f>
        <v/>
      </c>
      <c r="L36" s="1">
        <f>IF(NOT(ISBLANK($A36)), ABS(I36-F36), "")</f>
        <v/>
      </c>
    </row>
    <row r="37">
      <c r="A37" s="11" t="n">
        <v>34</v>
      </c>
      <c r="B37" s="1" t="inlineStr">
        <is>
          <t>Iñigo</t>
        </is>
      </c>
      <c r="C37" s="1" t="n">
        <v>1</v>
      </c>
      <c r="D37" s="1" t="n">
        <v>118</v>
      </c>
      <c r="E37" s="1" t="n">
        <v>66</v>
      </c>
      <c r="F37" s="1" t="n">
        <v>78</v>
      </c>
      <c r="G37" s="1" t="n">
        <v>110</v>
      </c>
      <c r="H37" s="1" t="n">
        <v>71</v>
      </c>
      <c r="I37" s="1" t="n">
        <v>83</v>
      </c>
      <c r="J37" s="1">
        <f>IF(NOT(ISBLANK($A37)), ABS(G37-D37), "")</f>
        <v/>
      </c>
      <c r="K37" s="1">
        <f>IF(NOT(ISBLANK($A37)), ABS(H37-E37), "")</f>
        <v/>
      </c>
      <c r="L37" s="1">
        <f>IF(NOT(ISBLANK($A37)), ABS(I37-F37), "")</f>
        <v/>
      </c>
    </row>
    <row r="38">
      <c r="A38" s="11" t="n">
        <v>35</v>
      </c>
      <c r="B38" s="1" t="inlineStr">
        <is>
          <t>Jaime</t>
        </is>
      </c>
      <c r="C38" s="1" t="n">
        <v>1</v>
      </c>
      <c r="D38" s="1" t="n">
        <v>116</v>
      </c>
      <c r="E38" s="1" t="n">
        <v>97</v>
      </c>
      <c r="F38" s="1" t="n">
        <v>64</v>
      </c>
      <c r="G38" s="1" t="n">
        <v>109</v>
      </c>
      <c r="H38" s="1" t="n">
        <v>69</v>
      </c>
      <c r="I38" s="1" t="n">
        <v>53</v>
      </c>
      <c r="J38" s="1">
        <f>IF(NOT(ISBLANK($A38)), ABS(G38-D38), "")</f>
        <v/>
      </c>
      <c r="K38" s="1">
        <f>IF(NOT(ISBLANK($A38)), ABS(H38-E38), "")</f>
        <v/>
      </c>
      <c r="L38" s="1">
        <f>IF(NOT(ISBLANK($A38)), ABS(I38-F38), "")</f>
        <v/>
      </c>
    </row>
    <row r="39">
      <c r="A39" s="11" t="n">
        <v>36</v>
      </c>
      <c r="B39" s="1" t="inlineStr">
        <is>
          <t>Javi</t>
        </is>
      </c>
      <c r="C39" s="1" t="n">
        <v>1</v>
      </c>
      <c r="D39" s="1" t="n">
        <v>117</v>
      </c>
      <c r="E39" s="1" t="n">
        <v>93</v>
      </c>
      <c r="F39" s="1" t="n">
        <v>75</v>
      </c>
      <c r="G39" s="1" t="n">
        <v>105</v>
      </c>
      <c r="H39" s="1" t="n">
        <v>74</v>
      </c>
      <c r="I39" s="1" t="n">
        <v>60</v>
      </c>
      <c r="J39" s="1">
        <f>IF(NOT(ISBLANK($A39)), ABS(G39-D39), "")</f>
        <v/>
      </c>
      <c r="K39" s="1">
        <f>IF(NOT(ISBLANK($A39)), ABS(H39-E39), "")</f>
        <v/>
      </c>
      <c r="L39" s="1">
        <f>IF(NOT(ISBLANK($A39)), ABS(I39-F39), "")</f>
        <v/>
      </c>
    </row>
    <row r="40">
      <c r="A40" s="11" t="n">
        <v>37</v>
      </c>
      <c r="B40" s="1" t="inlineStr">
        <is>
          <t>Jorge</t>
        </is>
      </c>
      <c r="C40" s="1" t="n">
        <v>1</v>
      </c>
      <c r="D40" s="1" t="n">
        <v>138</v>
      </c>
      <c r="E40" s="1" t="n">
        <v>97</v>
      </c>
      <c r="F40" s="1" t="n">
        <v>82</v>
      </c>
      <c r="G40" s="1" t="n">
        <v>119</v>
      </c>
      <c r="H40" s="1" t="n">
        <v>78</v>
      </c>
      <c r="I40" s="1" t="n">
        <v>80</v>
      </c>
      <c r="J40" s="1">
        <f>IF(NOT(ISBLANK($A40)), ABS(G40-D40), "")</f>
        <v/>
      </c>
      <c r="K40" s="1">
        <f>IF(NOT(ISBLANK($A40)), ABS(H40-E40), "")</f>
        <v/>
      </c>
      <c r="L40" s="1">
        <f>IF(NOT(ISBLANK($A40)), ABS(I40-F40), "")</f>
        <v/>
      </c>
    </row>
    <row r="41">
      <c r="A41" s="11" t="n">
        <v>38</v>
      </c>
      <c r="B41" s="1" t="inlineStr">
        <is>
          <t>Jorge</t>
        </is>
      </c>
      <c r="C41" s="1" t="n">
        <v>2</v>
      </c>
      <c r="D41" s="1" t="n">
        <v>152</v>
      </c>
      <c r="E41" s="1" t="n">
        <v>85</v>
      </c>
      <c r="F41" s="1" t="n">
        <v>94</v>
      </c>
      <c r="G41" s="1" t="n">
        <v>120</v>
      </c>
      <c r="H41" s="1" t="n">
        <v>74</v>
      </c>
      <c r="I41" s="1" t="n">
        <v>68</v>
      </c>
      <c r="J41" s="1">
        <f>IF(NOT(ISBLANK($A41)), ABS(G41-D41), "")</f>
        <v/>
      </c>
      <c r="K41" s="1">
        <f>IF(NOT(ISBLANK($A41)), ABS(H41-E41), "")</f>
        <v/>
      </c>
      <c r="L41" s="1">
        <f>IF(NOT(ISBLANK($A41)), ABS(I41-F41), "")</f>
        <v/>
      </c>
    </row>
    <row r="42">
      <c r="A42" s="11" t="n">
        <v>39</v>
      </c>
      <c r="B42" s="1" t="inlineStr">
        <is>
          <t>Jorge</t>
        </is>
      </c>
      <c r="C42" s="1" t="n">
        <v>3</v>
      </c>
      <c r="D42" s="1" t="n">
        <v>110</v>
      </c>
      <c r="E42" s="1" t="n">
        <v>74</v>
      </c>
      <c r="F42" s="1" t="n">
        <v>84</v>
      </c>
      <c r="G42" s="1" t="n">
        <v>114</v>
      </c>
      <c r="H42" s="1" t="n">
        <v>64</v>
      </c>
      <c r="I42" s="1" t="n">
        <v>71</v>
      </c>
      <c r="J42" s="1">
        <f>IF(NOT(ISBLANK($A42)), ABS(G42-D42), "")</f>
        <v/>
      </c>
      <c r="K42" s="1">
        <f>IF(NOT(ISBLANK($A42)), ABS(H42-E42), "")</f>
        <v/>
      </c>
      <c r="L42" s="1">
        <f>IF(NOT(ISBLANK($A42)), ABS(I42-F42), "")</f>
        <v/>
      </c>
    </row>
    <row r="43">
      <c r="A43" s="11" t="n">
        <v>40</v>
      </c>
      <c r="B43" s="1" t="inlineStr">
        <is>
          <t>Juan</t>
        </is>
      </c>
      <c r="C43" s="1" t="n">
        <v>1</v>
      </c>
      <c r="D43" s="1" t="n">
        <v>99</v>
      </c>
      <c r="E43" s="1" t="n">
        <v>61</v>
      </c>
      <c r="F43" s="1" t="n">
        <v>61</v>
      </c>
      <c r="G43" s="1" t="n">
        <v>108</v>
      </c>
      <c r="H43" s="1" t="n">
        <v>66</v>
      </c>
      <c r="I43" s="1" t="n">
        <v>54</v>
      </c>
      <c r="J43" s="1">
        <f>IF(NOT(ISBLANK($A43)), ABS(G43-D43), "")</f>
        <v/>
      </c>
      <c r="K43" s="1">
        <f>IF(NOT(ISBLANK($A43)), ABS(H43-E43), "")</f>
        <v/>
      </c>
      <c r="L43" s="1">
        <f>IF(NOT(ISBLANK($A43)), ABS(I43-F43), "")</f>
        <v/>
      </c>
    </row>
    <row r="44">
      <c r="A44" s="1" t="n">
        <v>41</v>
      </c>
      <c r="B44" s="1" t="inlineStr">
        <is>
          <t>Kiko</t>
        </is>
      </c>
      <c r="C44" s="1" t="n">
        <v>1</v>
      </c>
      <c r="D44" s="1" t="n">
        <v>103</v>
      </c>
      <c r="E44" s="1" t="n">
        <v>76</v>
      </c>
      <c r="F44" s="1" t="n">
        <v>84</v>
      </c>
      <c r="G44" s="1" t="n">
        <v>116</v>
      </c>
      <c r="H44" s="1" t="n">
        <v>76</v>
      </c>
      <c r="I44" s="1" t="n">
        <v>64</v>
      </c>
      <c r="J44" s="1">
        <f>IF(NOT(ISBLANK($A44)), ABS(G44-D44), "")</f>
        <v/>
      </c>
      <c r="K44" s="1">
        <f>IF(NOT(ISBLANK($A44)), ABS(H44-E44), "")</f>
        <v/>
      </c>
      <c r="L44" s="1">
        <f>IF(NOT(ISBLANK($A44)), ABS(I44-F44), "")</f>
        <v/>
      </c>
    </row>
    <row r="45">
      <c r="A45" s="1" t="n">
        <v>42</v>
      </c>
      <c r="B45" s="1" t="inlineStr">
        <is>
          <t>Maez</t>
        </is>
      </c>
      <c r="C45" s="1" t="n">
        <v>1</v>
      </c>
      <c r="D45" s="1" t="n">
        <v>110</v>
      </c>
      <c r="E45" s="1" t="n">
        <v>75</v>
      </c>
      <c r="F45" s="1" t="n">
        <v>66</v>
      </c>
      <c r="G45" s="1" t="n">
        <v>116</v>
      </c>
      <c r="H45" s="1" t="n">
        <v>65</v>
      </c>
      <c r="I45" s="1" t="n">
        <v>54</v>
      </c>
      <c r="J45" s="1">
        <f>IF(NOT(ISBLANK($A45)), ABS(G45-D45), "")</f>
        <v/>
      </c>
      <c r="K45" s="1">
        <f>IF(NOT(ISBLANK($A45)), ABS(H45-E45), "")</f>
        <v/>
      </c>
      <c r="L45" s="1">
        <f>IF(NOT(ISBLANK($A45)), ABS(I45-F45), "")</f>
        <v/>
      </c>
    </row>
    <row r="46">
      <c r="A46" s="1" t="n">
        <v>43</v>
      </c>
      <c r="B46" s="1" t="inlineStr">
        <is>
          <t>Maez</t>
        </is>
      </c>
      <c r="C46" s="1" t="n">
        <v>2</v>
      </c>
      <c r="D46" s="1" t="n">
        <v>134</v>
      </c>
      <c r="E46" s="1" t="n">
        <v>45</v>
      </c>
      <c r="F46" s="1" t="n">
        <v>56</v>
      </c>
      <c r="G46" s="1" t="n">
        <v>124</v>
      </c>
      <c r="H46" s="1" t="n">
        <v>62</v>
      </c>
      <c r="I46" s="1" t="n">
        <v>51</v>
      </c>
      <c r="J46" s="1">
        <f>IF(NOT(ISBLANK($A46)), ABS(G46-D46), "")</f>
        <v/>
      </c>
      <c r="K46" s="1">
        <f>IF(NOT(ISBLANK($A46)), ABS(H46-E46), "")</f>
        <v/>
      </c>
      <c r="L46" s="1">
        <f>IF(NOT(ISBLANK($A46)), ABS(I46-F46), "")</f>
        <v/>
      </c>
    </row>
    <row r="47">
      <c r="A47" s="1" t="n">
        <v>44</v>
      </c>
      <c r="B47" s="1" t="inlineStr">
        <is>
          <t>Maria2</t>
        </is>
      </c>
      <c r="C47" s="1" t="n">
        <v>1</v>
      </c>
      <c r="D47" s="1" t="n">
        <v>146</v>
      </c>
      <c r="E47" s="1" t="n">
        <v>104</v>
      </c>
      <c r="F47" s="1" t="n">
        <v>76</v>
      </c>
      <c r="G47" s="1" t="n">
        <v>121</v>
      </c>
      <c r="H47" s="1" t="n">
        <v>81</v>
      </c>
      <c r="I47" s="1" t="n">
        <v>68</v>
      </c>
      <c r="J47" s="1">
        <f>IF(NOT(ISBLANK($A47)), ABS(G47-D47), "")</f>
        <v/>
      </c>
      <c r="K47" s="1">
        <f>IF(NOT(ISBLANK($A47)), ABS(H47-E47), "")</f>
        <v/>
      </c>
      <c r="L47" s="1">
        <f>IF(NOT(ISBLANK($A47)), ABS(I47-F47), "")</f>
        <v/>
      </c>
    </row>
    <row r="48">
      <c r="A48" s="1" t="n">
        <v>45</v>
      </c>
      <c r="B48" s="1" t="inlineStr">
        <is>
          <t>MariaJesus</t>
        </is>
      </c>
      <c r="C48" s="1" t="n">
        <v>1</v>
      </c>
      <c r="D48" s="1" t="n">
        <v>152</v>
      </c>
      <c r="E48" s="1" t="n">
        <v>83</v>
      </c>
      <c r="F48" s="1" t="n">
        <v>130</v>
      </c>
      <c r="G48" s="1" t="n">
        <v>105</v>
      </c>
      <c r="H48" s="1" t="n">
        <v>74</v>
      </c>
      <c r="I48" s="1" t="n">
        <v>105</v>
      </c>
      <c r="J48" s="1">
        <f>IF(NOT(ISBLANK($A48)), ABS(G48-D48), "")</f>
        <v/>
      </c>
      <c r="K48" s="1">
        <f>IF(NOT(ISBLANK($A48)), ABS(H48-E48), "")</f>
        <v/>
      </c>
      <c r="L48" s="1">
        <f>IF(NOT(ISBLANK($A48)), ABS(I48-F48), "")</f>
        <v/>
      </c>
    </row>
    <row r="49">
      <c r="A49" s="1" t="n">
        <v>46</v>
      </c>
      <c r="B49" s="1" t="inlineStr">
        <is>
          <t>Maria</t>
        </is>
      </c>
      <c r="C49" s="1" t="n">
        <v>1</v>
      </c>
      <c r="D49" s="1" t="n">
        <v>142</v>
      </c>
      <c r="E49" s="1" t="n">
        <v>72</v>
      </c>
      <c r="F49" s="1" t="n">
        <v>92</v>
      </c>
      <c r="G49" s="1" t="n">
        <v>110</v>
      </c>
      <c r="H49" s="1" t="n">
        <v>71</v>
      </c>
      <c r="I49" s="1" t="n">
        <v>74</v>
      </c>
      <c r="J49" s="1">
        <f>IF(NOT(ISBLANK($A49)), ABS(G49-D49), "")</f>
        <v/>
      </c>
      <c r="K49" s="1">
        <f>IF(NOT(ISBLANK($A49)), ABS(H49-E49), "")</f>
        <v/>
      </c>
      <c r="L49" s="1">
        <f>IF(NOT(ISBLANK($A49)), ABS(I49-F49), "")</f>
        <v/>
      </c>
    </row>
    <row r="50">
      <c r="A50" s="1" t="n">
        <v>47</v>
      </c>
      <c r="B50" s="1" t="inlineStr">
        <is>
          <t>Maria</t>
        </is>
      </c>
      <c r="C50" s="1" t="n">
        <v>2</v>
      </c>
      <c r="D50" s="1" t="n">
        <v>119</v>
      </c>
      <c r="E50" s="1" t="n">
        <v>63</v>
      </c>
      <c r="F50" s="1" t="n">
        <v>82</v>
      </c>
      <c r="G50" s="1" t="n">
        <v>107</v>
      </c>
      <c r="H50" s="1" t="n">
        <v>76</v>
      </c>
      <c r="I50" s="1" t="n">
        <v>72</v>
      </c>
      <c r="J50" s="1">
        <f>IF(NOT(ISBLANK($A50)), ABS(G50-D50), "")</f>
        <v/>
      </c>
      <c r="K50" s="1">
        <f>IF(NOT(ISBLANK($A50)), ABS(H50-E50), "")</f>
        <v/>
      </c>
      <c r="L50" s="1">
        <f>IF(NOT(ISBLANK($A50)), ABS(I50-F50), "")</f>
        <v/>
      </c>
    </row>
    <row r="51">
      <c r="A51" s="1" t="n">
        <v>48</v>
      </c>
      <c r="B51" s="1" t="inlineStr">
        <is>
          <t>Maria</t>
        </is>
      </c>
      <c r="C51" s="1" t="n">
        <v>3</v>
      </c>
      <c r="D51" s="1" t="n">
        <v>120</v>
      </c>
      <c r="E51" s="1" t="n">
        <v>72</v>
      </c>
      <c r="F51" s="1" t="n">
        <v>81</v>
      </c>
      <c r="G51" s="1" t="n">
        <v>109</v>
      </c>
      <c r="H51" s="1" t="n">
        <v>67</v>
      </c>
      <c r="I51" s="1" t="n">
        <v>71</v>
      </c>
      <c r="J51" s="1">
        <f>IF(NOT(ISBLANK($A51)), ABS(G51-D51), "")</f>
        <v/>
      </c>
      <c r="K51" s="1">
        <f>IF(NOT(ISBLANK($A51)), ABS(H51-E51), "")</f>
        <v/>
      </c>
      <c r="L51" s="1">
        <f>IF(NOT(ISBLANK($A51)), ABS(I51-F51), "")</f>
        <v/>
      </c>
    </row>
    <row r="52">
      <c r="A52" s="1" t="n">
        <v>49</v>
      </c>
      <c r="B52" s="1" t="inlineStr">
        <is>
          <t>Nataly</t>
        </is>
      </c>
      <c r="C52" s="1" t="n">
        <v>1</v>
      </c>
      <c r="D52" s="1" t="n">
        <v>121</v>
      </c>
      <c r="E52" s="1" t="n">
        <v>85</v>
      </c>
      <c r="F52" s="1" t="n">
        <v>85</v>
      </c>
      <c r="G52" s="1" t="n">
        <v>118</v>
      </c>
      <c r="H52" s="1" t="n">
        <v>77</v>
      </c>
      <c r="I52" s="1" t="n">
        <v>68</v>
      </c>
      <c r="J52" s="1">
        <f>IF(NOT(ISBLANK($A52)), ABS(G52-D52), "")</f>
        <v/>
      </c>
      <c r="K52" s="1">
        <f>IF(NOT(ISBLANK($A52)), ABS(H52-E52), "")</f>
        <v/>
      </c>
      <c r="L52" s="1">
        <f>IF(NOT(ISBLANK($A52)), ABS(I52-F52), "")</f>
        <v/>
      </c>
    </row>
    <row r="53">
      <c r="A53" s="1" t="n">
        <v>50</v>
      </c>
      <c r="B53" s="1" t="inlineStr">
        <is>
          <t>Pilar</t>
        </is>
      </c>
      <c r="C53" s="1" t="n">
        <v>1</v>
      </c>
      <c r="D53" s="1" t="n">
        <v>147</v>
      </c>
      <c r="E53" s="1" t="n">
        <v>104</v>
      </c>
      <c r="F53" s="1" t="n">
        <v>90</v>
      </c>
      <c r="G53" s="1" t="n">
        <v>126</v>
      </c>
      <c r="H53" s="1" t="n">
        <v>82</v>
      </c>
      <c r="I53" s="1" t="n">
        <v>57</v>
      </c>
      <c r="J53" s="1">
        <f>IF(NOT(ISBLANK($A53)), ABS(G53-D53), "")</f>
        <v/>
      </c>
      <c r="K53" s="1">
        <f>IF(NOT(ISBLANK($A53)), ABS(H53-E53), "")</f>
        <v/>
      </c>
      <c r="L53" s="1">
        <f>IF(NOT(ISBLANK($A53)), ABS(I53-F53), "")</f>
        <v/>
      </c>
    </row>
  </sheetData>
  <mergeCells count="6">
    <mergeCell ref="N1:N3"/>
    <mergeCell ref="C1:C2"/>
    <mergeCell ref="B1:B2"/>
    <mergeCell ref="D1:F1"/>
    <mergeCell ref="G1:I1"/>
    <mergeCell ref="A1:A2"/>
  </mergeCells>
  <conditionalFormatting sqref="A1:L1048576">
    <cfRule type="containsErrors" priority="2" dxfId="4">
      <formula>ISERROR(A1)</formula>
    </cfRule>
    <cfRule type="expression" priority="6" dxfId="3">
      <formula>ISBLANK(A1)</formula>
    </cfRule>
  </conditionalFormatting>
  <conditionalFormatting sqref="E3:E1048576 H3:H1048576 K3:K1048576">
    <cfRule type="notContainsBlanks" priority="4" dxfId="1">
      <formula>LEN(TRIM(E3))&gt;0</formula>
    </cfRule>
  </conditionalFormatting>
  <conditionalFormatting sqref="F3:F1048576 I3:I1048576 L3:L1048576">
    <cfRule type="notContainsBlanks" priority="3" dxfId="0">
      <formula>LEN(TRIM(F3))&gt;0</formula>
    </cfRule>
  </conditionalFormatting>
  <conditionalFormatting sqref="J3:L1048576 O3:Q3">
    <cfRule type="colorScale" priority="1">
      <colorScale>
        <cfvo type="num" val="0"/>
        <cfvo type="num" val="12"/>
        <cfvo type="num" val="50"/>
        <color rgb="FF63BE7B"/>
        <color rgb="FFFFEB84"/>
        <color rgb="FFF8696B"/>
      </colorScale>
    </cfRule>
  </conditionalFormatting>
  <conditionalFormatting sqref="D3:D1048576 G3:G1048576 J3:J1048576 J53:L53 K3:L52">
    <cfRule type="notContainsBlanks" priority="7" dxfId="2">
      <formula>LEN(TRIM(D3))&gt;0</formula>
    </cfRule>
  </conditionalFormatting>
  <pageMargins left="0.7" right="0.7" top="0.75" bottom="0.75" header="0.3" footer="0.3"/>
  <pageSetup orientation="landscape" paperSize="9" scale="9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selection activeCell="E7" sqref="E7"/>
    </sheetView>
  </sheetViews>
  <sheetFormatPr baseColWidth="10" defaultRowHeight="14.4"/>
  <cols>
    <col width="10.77734375" customWidth="1" style="1" min="1" max="1"/>
    <col width="10.77734375" customWidth="1" style="18" min="2" max="10"/>
  </cols>
  <sheetData>
    <row r="1">
      <c r="A1" s="27" t="inlineStr">
        <is>
          <t>SUJETO</t>
        </is>
      </c>
      <c r="B1" s="23" t="inlineStr">
        <is>
          <t>SAM</t>
        </is>
      </c>
      <c r="C1" s="25" t="n"/>
      <c r="D1" s="26" t="n"/>
      <c r="E1" s="23" t="inlineStr">
        <is>
          <t>REAL</t>
        </is>
      </c>
      <c r="F1" s="25" t="n"/>
      <c r="G1" s="26" t="n"/>
      <c r="H1" s="23" t="inlineStr">
        <is>
          <t>∆ SYS</t>
        </is>
      </c>
      <c r="I1" s="23" t="inlineStr">
        <is>
          <t>∆ DIA</t>
        </is>
      </c>
      <c r="J1" s="17" t="inlineStr">
        <is>
          <t>∆ PPM</t>
        </is>
      </c>
    </row>
    <row r="2" ht="15" customHeight="1" thickBot="1">
      <c r="A2" s="28" t="n"/>
      <c r="B2" s="3" t="inlineStr">
        <is>
          <t>SYS</t>
        </is>
      </c>
      <c r="C2" s="4" t="inlineStr">
        <is>
          <t>DIA</t>
        </is>
      </c>
      <c r="D2" s="5" t="inlineStr">
        <is>
          <t>PPM</t>
        </is>
      </c>
      <c r="E2" s="3" t="inlineStr">
        <is>
          <t>SYS</t>
        </is>
      </c>
      <c r="F2" s="4" t="inlineStr">
        <is>
          <t>DIA</t>
        </is>
      </c>
      <c r="G2" s="5" t="inlineStr">
        <is>
          <t>PPM</t>
        </is>
      </c>
      <c r="H2" s="3" t="inlineStr">
        <is>
          <t>mmHg</t>
        </is>
      </c>
      <c r="I2" s="4" t="inlineStr">
        <is>
          <t>mmHg</t>
        </is>
      </c>
      <c r="J2" s="6" t="inlineStr">
        <is>
          <t>PPM</t>
        </is>
      </c>
    </row>
    <row r="3">
      <c r="A3" s="1" t="inlineStr">
        <is>
          <t>Andres</t>
        </is>
      </c>
      <c r="B3" s="18" t="n">
        <v>123.5555555555556</v>
      </c>
      <c r="C3" s="18" t="n">
        <v>82.70370370370371</v>
      </c>
      <c r="D3" s="18" t="n">
        <v>84</v>
      </c>
      <c r="E3" s="18" t="n">
        <v>127.5</v>
      </c>
      <c r="F3" s="18" t="n">
        <v>78.72222222222223</v>
      </c>
      <c r="G3" s="18" t="n">
        <v>78.72222222222223</v>
      </c>
      <c r="H3" s="18">
        <f>IF(NOT(ISBLANK($A3)), ABS(E3-B3), "")</f>
        <v/>
      </c>
      <c r="I3" s="18">
        <f>IF(NOT(ISBLANK($A3)), ABS(F3-C3), "")</f>
        <v/>
      </c>
      <c r="J3" s="18">
        <f>IF(NOT(ISBLANK($A3)), ABS(G3-D3), "")</f>
        <v/>
      </c>
    </row>
    <row r="4">
      <c r="A4" s="1" t="inlineStr">
        <is>
          <t>Angel</t>
        </is>
      </c>
      <c r="B4" s="18" t="n">
        <v>122</v>
      </c>
      <c r="C4" s="18" t="n">
        <v>85</v>
      </c>
      <c r="D4" s="18" t="n">
        <v>88.66666666666667</v>
      </c>
      <c r="E4" s="18" t="n">
        <v>111.6666666666667</v>
      </c>
      <c r="F4" s="18" t="n">
        <v>71.66666666666667</v>
      </c>
      <c r="G4" s="18" t="n">
        <v>71.66666666666667</v>
      </c>
      <c r="H4" s="18">
        <f>IF(NOT(ISBLANK($A4)), ABS(E4-B4), "")</f>
        <v/>
      </c>
      <c r="I4" s="18">
        <f>IF(NOT(ISBLANK($A4)), ABS(F4-C4), "")</f>
        <v/>
      </c>
      <c r="J4" s="18">
        <f>IF(NOT(ISBLANK($A4)), ABS(G4-D4), "")</f>
        <v/>
      </c>
    </row>
    <row r="5">
      <c r="A5" s="1" t="inlineStr">
        <is>
          <t>Carla</t>
        </is>
      </c>
      <c r="B5" s="18" t="n">
        <v>118</v>
      </c>
      <c r="C5" s="18" t="n">
        <v>74</v>
      </c>
      <c r="D5" s="18" t="n">
        <v>73</v>
      </c>
      <c r="E5" s="18" t="n">
        <v>106</v>
      </c>
      <c r="F5" s="18" t="n">
        <v>66</v>
      </c>
      <c r="G5" s="18" t="n">
        <v>66</v>
      </c>
      <c r="H5" s="18">
        <f>IF(NOT(ISBLANK($A5)), ABS(E5-B5), "")</f>
        <v/>
      </c>
      <c r="I5" s="18">
        <f>IF(NOT(ISBLANK($A5)), ABS(F5-C5), "")</f>
        <v/>
      </c>
      <c r="J5" s="18">
        <f>IF(NOT(ISBLANK($A5)), ABS(G5-D5), "")</f>
        <v/>
      </c>
    </row>
    <row r="6">
      <c r="A6" s="1" t="inlineStr">
        <is>
          <t>Gabriel</t>
        </is>
      </c>
      <c r="B6" s="18" t="n">
        <v>131</v>
      </c>
      <c r="C6" s="18" t="n">
        <v>77</v>
      </c>
      <c r="D6" s="18" t="n">
        <v>77</v>
      </c>
      <c r="E6" s="18" t="n">
        <v>134</v>
      </c>
      <c r="F6" s="18" t="n">
        <v>85</v>
      </c>
      <c r="G6" s="18" t="n">
        <v>85</v>
      </c>
      <c r="H6" s="18">
        <f>IF(NOT(ISBLANK($A6)), ABS(E6-B6), "")</f>
        <v/>
      </c>
      <c r="I6" s="18">
        <f>IF(NOT(ISBLANK($A6)), ABS(F6-C6), "")</f>
        <v/>
      </c>
      <c r="J6" s="18">
        <f>IF(NOT(ISBLANK($A6)), ABS(G6-D6), "")</f>
        <v/>
      </c>
    </row>
    <row r="7">
      <c r="A7" s="1" t="inlineStr">
        <is>
          <t>Gorka</t>
        </is>
      </c>
      <c r="B7" s="18" t="n">
        <v>99</v>
      </c>
      <c r="C7" s="18" t="n">
        <v>68</v>
      </c>
      <c r="D7" s="18" t="n">
        <v>70</v>
      </c>
      <c r="E7" s="18" t="n">
        <v>119</v>
      </c>
      <c r="F7" s="18" t="n">
        <v>59</v>
      </c>
      <c r="G7" s="18" t="n">
        <v>59</v>
      </c>
      <c r="H7" s="18">
        <f>IF(NOT(ISBLANK($A7)), ABS(E7-B7), "")</f>
        <v/>
      </c>
      <c r="I7" s="18">
        <f>IF(NOT(ISBLANK($A7)), ABS(F7-C7), "")</f>
        <v/>
      </c>
      <c r="J7" s="18">
        <f>IF(NOT(ISBLANK($A7)), ABS(G7-D7), "")</f>
        <v/>
      </c>
    </row>
    <row r="8">
      <c r="A8" s="1" t="inlineStr">
        <is>
          <t>Iñigo</t>
        </is>
      </c>
      <c r="B8" s="18" t="n">
        <v>118</v>
      </c>
      <c r="C8" s="18" t="n">
        <v>66</v>
      </c>
      <c r="D8" s="18" t="n">
        <v>78</v>
      </c>
      <c r="E8" s="18" t="n">
        <v>110</v>
      </c>
      <c r="F8" s="18" t="n">
        <v>71</v>
      </c>
      <c r="G8" s="18" t="n">
        <v>71</v>
      </c>
      <c r="H8" s="18">
        <f>IF(NOT(ISBLANK($A8)), ABS(E8-B8), "")</f>
        <v/>
      </c>
      <c r="I8" s="18">
        <f>IF(NOT(ISBLANK($A8)), ABS(F8-C8), "")</f>
        <v/>
      </c>
      <c r="J8" s="18">
        <f>IF(NOT(ISBLANK($A8)), ABS(G8-D8), "")</f>
        <v/>
      </c>
    </row>
    <row r="9">
      <c r="A9" s="1" t="inlineStr">
        <is>
          <t>Jaime</t>
        </is>
      </c>
      <c r="B9" s="18" t="n">
        <v>116</v>
      </c>
      <c r="C9" s="18" t="n">
        <v>97</v>
      </c>
      <c r="D9" s="18" t="n">
        <v>64</v>
      </c>
      <c r="E9" s="18" t="n">
        <v>109</v>
      </c>
      <c r="F9" s="18" t="n">
        <v>69</v>
      </c>
      <c r="G9" s="18" t="n">
        <v>69</v>
      </c>
      <c r="H9" s="18">
        <f>IF(NOT(ISBLANK($A9)), ABS(E9-B9), "")</f>
        <v/>
      </c>
      <c r="I9" s="18">
        <f>IF(NOT(ISBLANK($A9)), ABS(F9-C9), "")</f>
        <v/>
      </c>
      <c r="J9" s="18">
        <f>IF(NOT(ISBLANK($A9)), ABS(G9-D9), "")</f>
        <v/>
      </c>
    </row>
    <row r="10">
      <c r="A10" s="1" t="inlineStr">
        <is>
          <t>Javi</t>
        </is>
      </c>
      <c r="B10" s="18" t="n">
        <v>117</v>
      </c>
      <c r="C10" s="18" t="n">
        <v>93</v>
      </c>
      <c r="D10" s="18" t="n">
        <v>75</v>
      </c>
      <c r="E10" s="18" t="n">
        <v>105</v>
      </c>
      <c r="F10" s="18" t="n">
        <v>74</v>
      </c>
      <c r="G10" s="18" t="n">
        <v>74</v>
      </c>
      <c r="H10" s="18">
        <f>IF(NOT(ISBLANK($A10)), ABS(E10-B10), "")</f>
        <v/>
      </c>
      <c r="I10" s="18">
        <f>IF(NOT(ISBLANK($A10)), ABS(F10-C10), "")</f>
        <v/>
      </c>
      <c r="J10" s="18">
        <f>IF(NOT(ISBLANK($A10)), ABS(G10-D10), "")</f>
        <v/>
      </c>
    </row>
    <row r="11">
      <c r="A11" s="1" t="inlineStr">
        <is>
          <t>Jorge</t>
        </is>
      </c>
      <c r="B11" s="18" t="n">
        <v>133.3333333333333</v>
      </c>
      <c r="C11" s="18" t="n">
        <v>85.33333333333333</v>
      </c>
      <c r="D11" s="18" t="n">
        <v>86.66666666666667</v>
      </c>
      <c r="E11" s="18" t="n">
        <v>117.6666666666667</v>
      </c>
      <c r="F11" s="18" t="n">
        <v>72</v>
      </c>
      <c r="G11" s="18" t="n">
        <v>72</v>
      </c>
      <c r="H11" s="18">
        <f>IF(NOT(ISBLANK($A11)), ABS(E11-B11), "")</f>
        <v/>
      </c>
      <c r="I11" s="18">
        <f>IF(NOT(ISBLANK($A11)), ABS(F11-C11), "")</f>
        <v/>
      </c>
      <c r="J11" s="18">
        <f>IF(NOT(ISBLANK($A11)), ABS(G11-D11), "")</f>
        <v/>
      </c>
    </row>
    <row r="12">
      <c r="A12" s="1" t="inlineStr">
        <is>
          <t>Juan</t>
        </is>
      </c>
      <c r="B12" s="1" t="n">
        <v>99</v>
      </c>
      <c r="C12" s="1" t="n">
        <v>61</v>
      </c>
      <c r="D12" s="1" t="n">
        <v>61</v>
      </c>
      <c r="E12" s="1" t="n">
        <v>108</v>
      </c>
      <c r="F12" s="1" t="n">
        <v>66</v>
      </c>
      <c r="G12" s="1" t="n">
        <v>66</v>
      </c>
      <c r="H12" s="18">
        <f>IF(NOT(ISBLANK($A12)), ABS(E12-B12), "")</f>
        <v/>
      </c>
      <c r="I12" s="18">
        <f>IF(NOT(ISBLANK($A12)), ABS(F12-C12), "")</f>
        <v/>
      </c>
      <c r="J12" s="18">
        <f>IF(NOT(ISBLANK($A12)), ABS(G12-D12), "")</f>
        <v/>
      </c>
    </row>
    <row r="13">
      <c r="A13" s="1" t="inlineStr">
        <is>
          <t>Kiko</t>
        </is>
      </c>
      <c r="B13" s="1" t="n">
        <v>103</v>
      </c>
      <c r="C13" s="1" t="n">
        <v>76</v>
      </c>
      <c r="D13" s="1" t="n">
        <v>84</v>
      </c>
      <c r="E13" s="1" t="n">
        <v>116</v>
      </c>
      <c r="F13" s="1" t="n">
        <v>76</v>
      </c>
      <c r="G13" s="1" t="n">
        <v>76</v>
      </c>
      <c r="H13" s="18">
        <f>IF(NOT(ISBLANK($A13)), ABS(E13-B13), "")</f>
        <v/>
      </c>
      <c r="I13" s="18">
        <f>IF(NOT(ISBLANK($A13)), ABS(F13-C13), "")</f>
        <v/>
      </c>
      <c r="J13" s="18">
        <f>IF(NOT(ISBLANK($A13)), ABS(G13-D13), "")</f>
        <v/>
      </c>
    </row>
    <row r="14">
      <c r="A14" s="1" t="inlineStr">
        <is>
          <t>Maez</t>
        </is>
      </c>
      <c r="B14" s="1" t="n">
        <v>122</v>
      </c>
      <c r="C14" s="1" t="n">
        <v>60</v>
      </c>
      <c r="D14" s="1" t="n">
        <v>61</v>
      </c>
      <c r="E14" s="1" t="n">
        <v>120</v>
      </c>
      <c r="F14" s="1" t="n">
        <v>63.5</v>
      </c>
      <c r="G14" s="1" t="n">
        <v>63.5</v>
      </c>
      <c r="H14" s="18">
        <f>IF(NOT(ISBLANK($A14)), ABS(E14-B14), "")</f>
        <v/>
      </c>
      <c r="I14" s="18">
        <f>IF(NOT(ISBLANK($A14)), ABS(F14-C14), "")</f>
        <v/>
      </c>
      <c r="J14" s="18">
        <f>IF(NOT(ISBLANK($A14)), ABS(G14-D14), "")</f>
        <v/>
      </c>
    </row>
    <row r="15">
      <c r="A15" s="1" t="inlineStr">
        <is>
          <t>Maria2</t>
        </is>
      </c>
      <c r="B15" s="1" t="n">
        <v>146</v>
      </c>
      <c r="C15" s="1" t="n">
        <v>104</v>
      </c>
      <c r="D15" s="1" t="n">
        <v>76</v>
      </c>
      <c r="E15" s="1" t="n">
        <v>121</v>
      </c>
      <c r="F15" s="1" t="n">
        <v>81</v>
      </c>
      <c r="G15" s="1" t="n">
        <v>81</v>
      </c>
      <c r="H15" s="18">
        <f>IF(NOT(ISBLANK($A15)), ABS(E15-B15), "")</f>
        <v/>
      </c>
      <c r="I15" s="18">
        <f>IF(NOT(ISBLANK($A15)), ABS(F15-C15), "")</f>
        <v/>
      </c>
      <c r="J15" s="18">
        <f>IF(NOT(ISBLANK($A15)), ABS(G15-D15), "")</f>
        <v/>
      </c>
    </row>
    <row r="16">
      <c r="A16" s="1" t="inlineStr">
        <is>
          <t>MariaJesus</t>
        </is>
      </c>
      <c r="B16" s="19" t="n">
        <v>152</v>
      </c>
      <c r="C16" s="19" t="n">
        <v>83</v>
      </c>
      <c r="D16" s="19" t="n">
        <v>130</v>
      </c>
      <c r="E16" s="19" t="n">
        <v>105</v>
      </c>
      <c r="F16" s="19" t="n">
        <v>74</v>
      </c>
      <c r="G16" s="19" t="n">
        <v>74</v>
      </c>
      <c r="H16" s="18">
        <f>IF(NOT(ISBLANK($A16)), ABS(E16-B16), "")</f>
        <v/>
      </c>
      <c r="I16" s="18">
        <f>IF(NOT(ISBLANK($A16)), ABS(F16-C16), "")</f>
        <v/>
      </c>
      <c r="J16" s="18">
        <f>IF(NOT(ISBLANK($A16)), ABS(G16-D16), "")</f>
        <v/>
      </c>
    </row>
    <row r="17">
      <c r="A17" s="1" t="inlineStr">
        <is>
          <t>Maria</t>
        </is>
      </c>
      <c r="B17" s="1" t="n">
        <v>127</v>
      </c>
      <c r="C17" s="1" t="n">
        <v>69</v>
      </c>
      <c r="D17" s="1" t="n">
        <v>85</v>
      </c>
      <c r="E17" s="18" t="n">
        <v>108.6666666666667</v>
      </c>
      <c r="F17" s="18" t="n">
        <v>71.33333333333333</v>
      </c>
      <c r="G17" s="18" t="n">
        <v>71.33333333333333</v>
      </c>
      <c r="H17" s="18">
        <f>IF(NOT(ISBLANK($A17)), ABS(E17-B17), "")</f>
        <v/>
      </c>
      <c r="I17" s="18">
        <f>IF(NOT(ISBLANK($A17)), ABS(F17-C17), "")</f>
        <v/>
      </c>
      <c r="J17" s="18">
        <f>IF(NOT(ISBLANK($A17)), ABS(G17-D17), "")</f>
        <v/>
      </c>
    </row>
    <row r="18">
      <c r="A18" s="1" t="inlineStr">
        <is>
          <t>Nataly</t>
        </is>
      </c>
      <c r="B18" s="1" t="n">
        <v>121</v>
      </c>
      <c r="C18" s="1" t="n">
        <v>85</v>
      </c>
      <c r="D18" s="1" t="n">
        <v>85</v>
      </c>
      <c r="E18" s="1" t="n">
        <v>118</v>
      </c>
      <c r="F18" s="1" t="n">
        <v>77</v>
      </c>
      <c r="G18" s="1" t="n">
        <v>77</v>
      </c>
      <c r="H18" s="18">
        <f>IF(NOT(ISBLANK($A18)), ABS(E18-B18), "")</f>
        <v/>
      </c>
      <c r="I18" s="18">
        <f>IF(NOT(ISBLANK($A18)), ABS(F18-C18), "")</f>
        <v/>
      </c>
      <c r="J18" s="18">
        <f>IF(NOT(ISBLANK($A18)), ABS(G18-D18), "")</f>
        <v/>
      </c>
    </row>
    <row r="19">
      <c r="A19" s="1" t="inlineStr">
        <is>
          <t>Pilar</t>
        </is>
      </c>
      <c r="B19" s="1" t="n">
        <v>147</v>
      </c>
      <c r="C19" s="1" t="n">
        <v>104</v>
      </c>
      <c r="D19" s="1" t="n">
        <v>90</v>
      </c>
      <c r="E19" s="1" t="n">
        <v>126</v>
      </c>
      <c r="F19" s="1" t="n">
        <v>82</v>
      </c>
      <c r="G19" s="1" t="n">
        <v>82</v>
      </c>
      <c r="H19" s="18">
        <f>IF(NOT(ISBLANK($A19)), ABS(E19-B19), "")</f>
        <v/>
      </c>
      <c r="I19" s="18">
        <f>IF(NOT(ISBLANK($A19)), ABS(F19-C19), "")</f>
        <v/>
      </c>
      <c r="J19" s="18">
        <f>IF(NOT(ISBLANK($A19)), ABS(G19-D19), "")</f>
        <v/>
      </c>
    </row>
  </sheetData>
  <mergeCells count="3">
    <mergeCell ref="B1:D1"/>
    <mergeCell ref="E1:G1"/>
    <mergeCell ref="A1:A2"/>
  </mergeCells>
  <conditionalFormatting sqref="A1:J2">
    <cfRule type="containsErrors" priority="12" dxfId="4">
      <formula>ISERROR(A1)</formula>
    </cfRule>
    <cfRule type="expression" priority="13" dxfId="3">
      <formula>ISBLANK(A1)</formula>
    </cfRule>
  </conditionalFormatting>
  <conditionalFormatting sqref="B3:B1048576 E3:E1048576">
    <cfRule type="notContainsBlanks" priority="7" dxfId="2">
      <formula>LEN(TRIM(B3))&gt;0</formula>
    </cfRule>
  </conditionalFormatting>
  <conditionalFormatting sqref="C3:C1048576 F3:F1048576">
    <cfRule type="notContainsBlanks" priority="3" dxfId="1">
      <formula>LEN(TRIM(C3))&gt;0</formula>
    </cfRule>
  </conditionalFormatting>
  <conditionalFormatting sqref="D3:D1048576 G3:G1048576">
    <cfRule type="notContainsBlanks" priority="2" dxfId="0">
      <formula>LEN(TRIM(D3))&gt;0</formula>
    </cfRule>
  </conditionalFormatting>
  <conditionalFormatting sqref="H3:J19">
    <cfRule type="colorScale" priority="8">
      <colorScale>
        <cfvo type="num" val="0"/>
        <cfvo type="num" val="12"/>
        <cfvo type="num" val="50"/>
        <color rgb="FF63BE7B"/>
        <color rgb="FFFFEB84"/>
        <color rgb="FFF8696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4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Andres Sanchez</dc:creator>
  <dcterms:created xsi:type="dcterms:W3CDTF">2015-06-05T18:17:20Z</dcterms:created>
  <dcterms:modified xsi:type="dcterms:W3CDTF">2025-05-26T00:25:53Z</dcterms:modified>
  <cp:lastModifiedBy>ANDRES SANCHEZ SILVA</cp:lastModifiedBy>
  <cp:lastPrinted>2025-05-16T17:06:21Z</cp:lastPrinted>
</cp:coreProperties>
</file>